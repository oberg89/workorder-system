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edtraceu-my.sharepoint.com/personal/sebastian_lloyd_swedtrac_eu/Documents/Skrivbordet/"/>
    </mc:Choice>
  </mc:AlternateContent>
  <xr:revisionPtr revIDLastSave="1081" documentId="13_ncr:1_{6E78F367-327E-483D-931F-1799C07B1443}" xr6:coauthVersionLast="47" xr6:coauthVersionMax="47" xr10:uidLastSave="{76E852C9-E1B1-4E47-AF3E-D199F6E8AF04}"/>
  <bookViews>
    <workbookView xWindow="25695" yWindow="0" windowWidth="26010" windowHeight="20985" activeTab="1" xr2:uid="{00000000-000D-0000-FFFF-FFFF00000000}"/>
  </bookViews>
  <sheets>
    <sheet name="orginal lista" sheetId="1" r:id="rId1"/>
    <sheet name="Lista med 12%" sheetId="2" r:id="rId2"/>
    <sheet name="Lista med 25%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2" l="1"/>
  <c r="G64" i="2"/>
  <c r="F65" i="2"/>
  <c r="F64" i="2"/>
  <c r="F63" i="2"/>
  <c r="G63" i="2"/>
  <c r="F110" i="2"/>
  <c r="G110" i="2" s="1"/>
  <c r="F42" i="2"/>
  <c r="G42" i="2" s="1"/>
  <c r="F41" i="2"/>
  <c r="G41" i="2" s="1"/>
  <c r="F80" i="2"/>
  <c r="G80" i="2" s="1"/>
  <c r="F108" i="2"/>
  <c r="G108" i="2" s="1"/>
  <c r="F109" i="2"/>
  <c r="G109" i="2" s="1"/>
  <c r="F15" i="2"/>
  <c r="F14" i="2"/>
  <c r="F33" i="2"/>
  <c r="F32" i="2"/>
  <c r="G32" i="2" s="1"/>
  <c r="F101" i="2" l="1"/>
  <c r="G101" i="2" s="1"/>
  <c r="F102" i="2"/>
  <c r="G102" i="2" s="1"/>
  <c r="G9" i="3"/>
  <c r="G90" i="3"/>
  <c r="G89" i="3"/>
  <c r="G88" i="3"/>
  <c r="G87" i="3"/>
  <c r="G86" i="3"/>
  <c r="G85" i="3"/>
  <c r="G83" i="3"/>
  <c r="G82" i="3"/>
  <c r="G81" i="3"/>
  <c r="G80" i="3"/>
  <c r="G79" i="3"/>
  <c r="G78" i="3"/>
  <c r="G77" i="3"/>
  <c r="G75" i="3"/>
  <c r="G74" i="3"/>
  <c r="G73" i="3"/>
  <c r="G72" i="3"/>
  <c r="G71" i="3"/>
  <c r="G70" i="3"/>
  <c r="G67" i="3"/>
  <c r="G66" i="3"/>
  <c r="G65" i="3"/>
  <c r="G64" i="3"/>
  <c r="G63" i="3"/>
  <c r="G61" i="3"/>
  <c r="G60" i="3"/>
  <c r="G59" i="3"/>
  <c r="G58" i="3"/>
  <c r="G57" i="3"/>
  <c r="G55" i="3"/>
  <c r="G54" i="3"/>
  <c r="G53" i="3"/>
  <c r="G52" i="3"/>
  <c r="G51" i="3"/>
  <c r="G50" i="3"/>
  <c r="G49" i="3"/>
  <c r="G48" i="3"/>
  <c r="G47" i="3"/>
  <c r="G46" i="3"/>
  <c r="G45" i="3"/>
  <c r="G44" i="3"/>
  <c r="G42" i="3"/>
  <c r="G40" i="3"/>
  <c r="G39" i="3"/>
  <c r="G38" i="3"/>
  <c r="G37" i="3"/>
  <c r="G36" i="3"/>
  <c r="G34" i="3"/>
  <c r="G33" i="3"/>
  <c r="G32" i="3"/>
  <c r="G31" i="3"/>
  <c r="G30" i="3"/>
  <c r="G29" i="3"/>
  <c r="G28" i="3"/>
  <c r="G27" i="3"/>
  <c r="G23" i="3"/>
  <c r="G22" i="3"/>
  <c r="G20" i="3"/>
  <c r="G19" i="3"/>
  <c r="G17" i="3"/>
  <c r="G16" i="3"/>
  <c r="G15" i="3"/>
  <c r="G14" i="3"/>
  <c r="G13" i="3"/>
  <c r="G12" i="3"/>
  <c r="G11" i="3"/>
  <c r="G10" i="3"/>
  <c r="G8" i="3"/>
  <c r="G7" i="3"/>
  <c r="G6" i="3"/>
  <c r="G5" i="3"/>
  <c r="G4" i="3"/>
  <c r="G3" i="3"/>
  <c r="F101" i="3"/>
  <c r="G101" i="3" s="1"/>
  <c r="F100" i="3"/>
  <c r="G100" i="3" s="1"/>
  <c r="F99" i="3"/>
  <c r="G99" i="3" s="1"/>
  <c r="F98" i="3"/>
  <c r="G98" i="3" s="1"/>
  <c r="F97" i="3"/>
  <c r="G97" i="3" s="1"/>
  <c r="F96" i="3"/>
  <c r="G96" i="3" s="1"/>
  <c r="F95" i="3"/>
  <c r="G95" i="3" s="1"/>
  <c r="F94" i="3"/>
  <c r="G94" i="3" s="1"/>
  <c r="F93" i="3"/>
  <c r="G93" i="3" s="1"/>
  <c r="F92" i="3"/>
  <c r="G92" i="3" s="1"/>
  <c r="F90" i="3"/>
  <c r="F89" i="3"/>
  <c r="F88" i="3"/>
  <c r="F87" i="3"/>
  <c r="F86" i="3"/>
  <c r="F85" i="3"/>
  <c r="F83" i="3"/>
  <c r="F82" i="3"/>
  <c r="F81" i="3"/>
  <c r="F80" i="3"/>
  <c r="F79" i="3"/>
  <c r="F78" i="3"/>
  <c r="F77" i="3"/>
  <c r="F75" i="3"/>
  <c r="F74" i="3"/>
  <c r="F73" i="3"/>
  <c r="F72" i="3"/>
  <c r="F71" i="3"/>
  <c r="F70" i="3"/>
  <c r="F69" i="3"/>
  <c r="G69" i="3" s="1"/>
  <c r="F67" i="3"/>
  <c r="F66" i="3"/>
  <c r="F65" i="3"/>
  <c r="F64" i="3"/>
  <c r="F63" i="3"/>
  <c r="F61" i="3"/>
  <c r="F60" i="3"/>
  <c r="F59" i="3"/>
  <c r="F58" i="3"/>
  <c r="F57" i="3"/>
  <c r="F55" i="3"/>
  <c r="F54" i="3"/>
  <c r="F53" i="3"/>
  <c r="F52" i="3"/>
  <c r="F51" i="3"/>
  <c r="F50" i="3"/>
  <c r="F49" i="3"/>
  <c r="F48" i="3"/>
  <c r="F47" i="3"/>
  <c r="F46" i="3"/>
  <c r="F45" i="3"/>
  <c r="F44" i="3"/>
  <c r="F42" i="3"/>
  <c r="F40" i="3"/>
  <c r="F39" i="3"/>
  <c r="F38" i="3"/>
  <c r="F37" i="3"/>
  <c r="F36" i="3"/>
  <c r="F35" i="3"/>
  <c r="G35" i="3" s="1"/>
  <c r="F34" i="3"/>
  <c r="F33" i="3"/>
  <c r="F32" i="3"/>
  <c r="F31" i="3"/>
  <c r="F30" i="3"/>
  <c r="F29" i="3"/>
  <c r="F28" i="3"/>
  <c r="F27" i="3"/>
  <c r="F26" i="3"/>
  <c r="G26" i="3" s="1"/>
  <c r="F25" i="3"/>
  <c r="G25" i="3" s="1"/>
  <c r="F24" i="3"/>
  <c r="G24" i="3" s="1"/>
  <c r="F23" i="3"/>
  <c r="F22" i="3"/>
  <c r="F20" i="3"/>
  <c r="F19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82" i="2"/>
  <c r="G82" i="2" s="1"/>
  <c r="G33" i="2" l="1"/>
  <c r="F23" i="2"/>
  <c r="G23" i="2" s="1"/>
  <c r="F107" i="2"/>
  <c r="G107" i="2" s="1"/>
  <c r="F106" i="2"/>
  <c r="G106" i="2" s="1"/>
  <c r="F105" i="2"/>
  <c r="G105" i="2" s="1"/>
  <c r="F104" i="2"/>
  <c r="G104" i="2" s="1"/>
  <c r="F103" i="2"/>
  <c r="G103" i="2" s="1"/>
  <c r="F100" i="2"/>
  <c r="G100" i="2" s="1"/>
  <c r="F99" i="2"/>
  <c r="G99" i="2" s="1"/>
  <c r="F98" i="2"/>
  <c r="G98" i="2" s="1"/>
  <c r="F97" i="2"/>
  <c r="G97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1" i="2"/>
  <c r="G71" i="2" s="1"/>
  <c r="F70" i="2"/>
  <c r="G70" i="2" s="1"/>
  <c r="F69" i="2"/>
  <c r="G69" i="2" s="1"/>
  <c r="F68" i="2"/>
  <c r="G68" i="2" s="1"/>
  <c r="F67" i="2"/>
  <c r="G67" i="2" s="1"/>
  <c r="F62" i="2"/>
  <c r="G62" i="2" s="1"/>
  <c r="F61" i="2"/>
  <c r="G61" i="2" s="1"/>
  <c r="F60" i="2"/>
  <c r="G60" i="2" s="1"/>
  <c r="F59" i="2"/>
  <c r="G59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4" i="2"/>
  <c r="G44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2" i="2"/>
  <c r="G22" i="2" s="1"/>
  <c r="F20" i="2"/>
  <c r="G20" i="2" s="1"/>
  <c r="F19" i="2"/>
  <c r="G19" i="2" s="1"/>
  <c r="F17" i="2"/>
  <c r="G17" i="2" s="1"/>
  <c r="F16" i="2"/>
  <c r="G16" i="2" s="1"/>
  <c r="G15" i="2"/>
  <c r="G14" i="2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3" i="1"/>
  <c r="F94" i="1"/>
  <c r="F95" i="1"/>
  <c r="F96" i="1"/>
</calcChain>
</file>

<file path=xl/sharedStrings.xml><?xml version="1.0" encoding="utf-8"?>
<sst xmlns="http://schemas.openxmlformats.org/spreadsheetml/2006/main" count="1231" uniqueCount="240">
  <si>
    <t>Material</t>
  </si>
  <si>
    <t>EM Nr / Leverantör</t>
  </si>
  <si>
    <t>Art nr/Benämning</t>
  </si>
  <si>
    <t>Pris inköp</t>
  </si>
  <si>
    <t>Pris till kund</t>
  </si>
  <si>
    <t>Enhet</t>
  </si>
  <si>
    <t>Motorolja LMOA 40</t>
  </si>
  <si>
    <t>TB Fordonssevice</t>
  </si>
  <si>
    <t>Eurol Railroad oil SAE 40</t>
  </si>
  <si>
    <t>L</t>
  </si>
  <si>
    <t>Motorolja 15w40</t>
  </si>
  <si>
    <t>Eurol SHPD SAE 15w40</t>
  </si>
  <si>
    <t>Olja HOL 20N</t>
  </si>
  <si>
    <t>Texaco Textran V 32</t>
  </si>
  <si>
    <t>Olja HOL 25</t>
  </si>
  <si>
    <t>ATF Fluitec 3000</t>
  </si>
  <si>
    <t>Olja HOL 30</t>
  </si>
  <si>
    <t>Eurol Hykrol HVLP ISO VG 46</t>
  </si>
  <si>
    <t>Olja Hypoid 80w90</t>
  </si>
  <si>
    <t>HPG SAE 80w90</t>
  </si>
  <si>
    <t>Glykol koncentrerad</t>
  </si>
  <si>
    <t>Eurol Glykol Blå</t>
  </si>
  <si>
    <t>Räkna om utbl!</t>
  </si>
  <si>
    <t>Spolarvätska utblandad</t>
  </si>
  <si>
    <t>BS Kemi</t>
  </si>
  <si>
    <t>Kallavfettning</t>
  </si>
  <si>
    <t>Maxett Extra</t>
  </si>
  <si>
    <t>Alkaliskavfettning</t>
  </si>
  <si>
    <t>Multiclean</t>
  </si>
  <si>
    <t>SJ-Ytter</t>
  </si>
  <si>
    <t>63 42 763</t>
  </si>
  <si>
    <t>Fett SFR 40</t>
  </si>
  <si>
    <t>10 26 042</t>
  </si>
  <si>
    <t>kg</t>
  </si>
  <si>
    <t>Fett SFR 50</t>
  </si>
  <si>
    <t>10 26 052</t>
  </si>
  <si>
    <t>Fett EP 2 NLGI 20</t>
  </si>
  <si>
    <t>Eurol Blue Star Grease EP 2</t>
  </si>
  <si>
    <t>Drevkåpsfett</t>
  </si>
  <si>
    <t>0,5 kg påsar</t>
  </si>
  <si>
    <t>st</t>
  </si>
  <si>
    <t>Destruktion Olja</t>
  </si>
  <si>
    <t>Ragnsells</t>
  </si>
  <si>
    <t>Destruktion Filter</t>
  </si>
  <si>
    <t>Loksand vanlig</t>
  </si>
  <si>
    <t>63 76 100</t>
  </si>
  <si>
    <t>Bromsblock SJ 7</t>
  </si>
  <si>
    <t>17 02 195</t>
  </si>
  <si>
    <t>Bromsblock SJ 12</t>
  </si>
  <si>
    <t>17 02 050</t>
  </si>
  <si>
    <t>Bromsblock DSB</t>
  </si>
  <si>
    <t>17 02 280</t>
  </si>
  <si>
    <t>Bromsbelägg Z65 mm</t>
  </si>
  <si>
    <t>17 02 708</t>
  </si>
  <si>
    <t>Lokrulle</t>
  </si>
  <si>
    <t>64 13 079</t>
  </si>
  <si>
    <t>Lok soppåse</t>
  </si>
  <si>
    <t>66 11 680</t>
  </si>
  <si>
    <t>Batteri 6 volt</t>
  </si>
  <si>
    <t>59 71 025</t>
  </si>
  <si>
    <t>Batteri 4,5 volt</t>
  </si>
  <si>
    <t xml:space="preserve">59 71 050 </t>
  </si>
  <si>
    <t>Handlampa</t>
  </si>
  <si>
    <t>62 33 425</t>
  </si>
  <si>
    <t>Signallampa</t>
  </si>
  <si>
    <t>62 31 330</t>
  </si>
  <si>
    <t>Frysskydd 1 L</t>
  </si>
  <si>
    <t>10 15 137</t>
  </si>
  <si>
    <t>Frysskydd 4 L</t>
  </si>
  <si>
    <t>10 15 135</t>
  </si>
  <si>
    <t>Regrulle 120 km/t</t>
  </si>
  <si>
    <t>40 70 228</t>
  </si>
  <si>
    <t>Regrulle 150 km/t</t>
  </si>
  <si>
    <t>40 70 230</t>
  </si>
  <si>
    <t>Regrulle 180 km/t</t>
  </si>
  <si>
    <t>40 70 221</t>
  </si>
  <si>
    <t>Etikett</t>
  </si>
  <si>
    <t>74 45 155</t>
  </si>
  <si>
    <t>Skadeblock</t>
  </si>
  <si>
    <t>74 45 167</t>
  </si>
  <si>
    <t>Kontrollkort</t>
  </si>
  <si>
    <t>74 45 142</t>
  </si>
  <si>
    <t>Oljeprov</t>
  </si>
  <si>
    <t>Maskinsupport</t>
  </si>
  <si>
    <t>EMD Oljefilter Michiana</t>
  </si>
  <si>
    <t>95 02 334</t>
  </si>
  <si>
    <t>4 st/lok</t>
  </si>
  <si>
    <t>EMD Bränslefilter Spin on</t>
  </si>
  <si>
    <t>95 02 419</t>
  </si>
  <si>
    <t>2 st/lok</t>
  </si>
  <si>
    <t xml:space="preserve">EMD Packn. Synglas </t>
  </si>
  <si>
    <t>95 01 209</t>
  </si>
  <si>
    <t xml:space="preserve">EMD O-ring sugfilt. Olja </t>
  </si>
  <si>
    <t>64 48 935</t>
  </si>
  <si>
    <t>T43 Luftfilterdyna</t>
  </si>
  <si>
    <t>27 78 055</t>
  </si>
  <si>
    <t>32 st/lok</t>
  </si>
  <si>
    <t>T43 Packn. Oljefilt. Michiana</t>
  </si>
  <si>
    <t>95 01 050</t>
  </si>
  <si>
    <t>1 st/lok</t>
  </si>
  <si>
    <t xml:space="preserve">T44 Översynskitt </t>
  </si>
  <si>
    <t>00 10 014</t>
  </si>
  <si>
    <t xml:space="preserve">V5 Servicekit </t>
  </si>
  <si>
    <t>00 10 005</t>
  </si>
  <si>
    <t xml:space="preserve">Tmz Packn. Lock Michiana </t>
  </si>
  <si>
    <t>T3 10 655</t>
  </si>
  <si>
    <t xml:space="preserve">Tmz Packn. Bränsle Mich. </t>
  </si>
  <si>
    <t>95 25 360</t>
  </si>
  <si>
    <t>Tmz Förfilter turbo Spin on</t>
  </si>
  <si>
    <t>95 22 290</t>
  </si>
  <si>
    <t>Luftfilter EMD papper</t>
  </si>
  <si>
    <t>4-6 st/lok</t>
  </si>
  <si>
    <t xml:space="preserve">Scania O-ring cyklonrenare </t>
  </si>
  <si>
    <t>96 21 869</t>
  </si>
  <si>
    <t>96 21 873</t>
  </si>
  <si>
    <t>Scania Papper cyklon</t>
  </si>
  <si>
    <t>94 51 107</t>
  </si>
  <si>
    <t xml:space="preserve">Scania Bränslefilter </t>
  </si>
  <si>
    <t>96 23 569</t>
  </si>
  <si>
    <t>24-WK 723/1</t>
  </si>
  <si>
    <t>Scania Oljefilter DSI 14</t>
  </si>
  <si>
    <t>96 21 918</t>
  </si>
  <si>
    <t>Z68 Returfilter hydraul</t>
  </si>
  <si>
    <t>90 35 501</t>
  </si>
  <si>
    <t>Z68 Filter matarpump</t>
  </si>
  <si>
    <t>90 35 500</t>
  </si>
  <si>
    <t>Z68 Spolfilter</t>
  </si>
  <si>
    <t>90 35 502</t>
  </si>
  <si>
    <t>Z68 Andningsfilter hyd.tank</t>
  </si>
  <si>
    <t>90 35 505</t>
  </si>
  <si>
    <t>Z68 O-ring Hydraulfilter</t>
  </si>
  <si>
    <t>77 00 741</t>
  </si>
  <si>
    <t>Glödl. H2 24V</t>
  </si>
  <si>
    <t>Berner</t>
  </si>
  <si>
    <t>Glödl. H4 24V</t>
  </si>
  <si>
    <t>Glödl. 72V 40W E27</t>
  </si>
  <si>
    <t>62 13 730</t>
  </si>
  <si>
    <t>Glödl. 72 V Ba 22d</t>
  </si>
  <si>
    <t>62 14 960</t>
  </si>
  <si>
    <t>Huvbelysning</t>
  </si>
  <si>
    <t>Glödl. 60V 2,4W E10</t>
  </si>
  <si>
    <t>62 13 699</t>
  </si>
  <si>
    <t>Glödl 60V 1,2W Ba 9s</t>
  </si>
  <si>
    <t>62 13 700</t>
  </si>
  <si>
    <t>Glödl. 140V 15W B22D</t>
  </si>
  <si>
    <t>62 15 925</t>
  </si>
  <si>
    <t>Kol Banmotor T43</t>
  </si>
  <si>
    <t>68 32 775</t>
  </si>
  <si>
    <t>Kol Banmotor T44 m.fl.</t>
  </si>
  <si>
    <t>68 32 783</t>
  </si>
  <si>
    <t>Kol Huvudgenerator</t>
  </si>
  <si>
    <t>68 32 786</t>
  </si>
  <si>
    <t>Kol Hjälpgenerator</t>
  </si>
  <si>
    <t>68 32 788</t>
  </si>
  <si>
    <t>Kol Bränslepump</t>
  </si>
  <si>
    <t>95 01 085</t>
  </si>
  <si>
    <t>Kol Belastningsregulator</t>
  </si>
  <si>
    <t>95 01 482</t>
  </si>
  <si>
    <t>Brandsläckare Pulver pg 6</t>
  </si>
  <si>
    <t>Besiktning / Byte</t>
  </si>
  <si>
    <t>Ny</t>
  </si>
  <si>
    <t>Brandsläckare Pulver pg 9</t>
  </si>
  <si>
    <t>Brandsläckare CO2 5 kg</t>
  </si>
  <si>
    <t>Antal</t>
  </si>
  <si>
    <t>Pris/inköp</t>
  </si>
  <si>
    <t>per lok</t>
  </si>
  <si>
    <t>Besiktning+rapport</t>
  </si>
  <si>
    <t>reskostnad</t>
  </si>
  <si>
    <t>per timme</t>
  </si>
  <si>
    <t>Milersättning</t>
  </si>
  <si>
    <t>per km</t>
  </si>
  <si>
    <t>Bes + admin tid</t>
  </si>
  <si>
    <t>service bil</t>
  </si>
  <si>
    <t>Startavgift</t>
  </si>
  <si>
    <t>Fältarbete startavgift</t>
  </si>
  <si>
    <t>Priser/arbete</t>
  </si>
  <si>
    <t>Benämning</t>
  </si>
  <si>
    <t xml:space="preserve">Pris </t>
  </si>
  <si>
    <t>Pris</t>
  </si>
  <si>
    <t>startavgift</t>
  </si>
  <si>
    <t>Timkostnad</t>
  </si>
  <si>
    <t>Ö-tid enkel</t>
  </si>
  <si>
    <t>Ö-tid kval</t>
  </si>
  <si>
    <t>Ö-tid storhelg</t>
  </si>
  <si>
    <t>vanlig</t>
  </si>
  <si>
    <t>utöver överenskommet</t>
  </si>
  <si>
    <t>Per lok</t>
  </si>
  <si>
    <t>Huv.bel</t>
  </si>
  <si>
    <t>per motor "4st"</t>
  </si>
  <si>
    <t>Kol Banmotor TMZ</t>
  </si>
  <si>
    <t>per motor "6st"</t>
  </si>
  <si>
    <t>MZ+Dansk lok</t>
  </si>
  <si>
    <t>Z70+V5+DIV</t>
  </si>
  <si>
    <t>RC+DIV</t>
  </si>
  <si>
    <t>MANN-FILTER HD 15 117</t>
  </si>
  <si>
    <t>Leverans/hämtning</t>
  </si>
  <si>
    <t>Kostnad</t>
  </si>
  <si>
    <t>Storlek 1-3MM</t>
  </si>
  <si>
    <t>W 920/7</t>
  </si>
  <si>
    <t>WK 723/1</t>
  </si>
  <si>
    <t>Litt</t>
  </si>
  <si>
    <t>Fu</t>
  </si>
  <si>
    <t>Tid</t>
  </si>
  <si>
    <t>Kr/Tim</t>
  </si>
  <si>
    <t>Anmärkning</t>
  </si>
  <si>
    <t>Z70</t>
  </si>
  <si>
    <t>Ts</t>
  </si>
  <si>
    <t>Ms</t>
  </si>
  <si>
    <t>Ö1</t>
  </si>
  <si>
    <t>Ö2</t>
  </si>
  <si>
    <t>Ö3</t>
  </si>
  <si>
    <t>Z65</t>
  </si>
  <si>
    <t>V5</t>
  </si>
  <si>
    <t>T43/44</t>
  </si>
  <si>
    <t>TME</t>
  </si>
  <si>
    <t>Tmy</t>
  </si>
  <si>
    <t xml:space="preserve">TMZ </t>
  </si>
  <si>
    <t>RC-lok</t>
  </si>
  <si>
    <t>TS</t>
  </si>
  <si>
    <t>Rev 2024</t>
  </si>
  <si>
    <t>SWT0256</t>
  </si>
  <si>
    <t>Förbruknings material</t>
  </si>
  <si>
    <t>Spårhyran</t>
  </si>
  <si>
    <t>Per dag</t>
  </si>
  <si>
    <t>Dag</t>
  </si>
  <si>
    <t>SWT0255</t>
  </si>
  <si>
    <t xml:space="preserve">Glödlampa 24V-15W BA15 </t>
  </si>
  <si>
    <t>Slutsignal</t>
  </si>
  <si>
    <t>snabbsäkring 10A</t>
  </si>
  <si>
    <t>Eaton 236116</t>
  </si>
  <si>
    <t>Eaton 486805</t>
  </si>
  <si>
    <t>snabbsäkring 16A</t>
  </si>
  <si>
    <t>54 40 115</t>
  </si>
  <si>
    <t>SWT0257</t>
  </si>
  <si>
    <t>Svetsarbete</t>
  </si>
  <si>
    <t>CF1600</t>
  </si>
  <si>
    <t>92-C 30850/2</t>
  </si>
  <si>
    <t>Luftfilter sekundär</t>
  </si>
  <si>
    <t>Luftfilter primär</t>
  </si>
  <si>
    <t>Fett,Olja, Diverse,Packning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</si>
</sst>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kr&quot;"/>
    <numFmt numFmtId="165" formatCode="#,##0\ &quot;kr&quot;"/>
    <numFmt numFmtId="166" formatCode="#,##0\ _k_r"/>
  </numFmts>
  <fonts count="3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4" fillId="0" borderId="0" xfId="0" applyFont="1" applyAlignment="1">
      <alignment vertical="center"/>
    </xf>
    <xf numFmtId="165" fontId="34" fillId="0" borderId="0" xfId="0" applyNumberFormat="1" applyFont="1" applyAlignment="1">
      <alignment vertical="center"/>
    </xf>
    <xf numFmtId="166" fontId="34" fillId="0" borderId="0" xfId="0" applyNumberFormat="1" applyFont="1" applyAlignment="1">
      <alignment vertical="center"/>
    </xf>
    <xf numFmtId="165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horizontal="right" vertical="center"/>
    </xf>
    <xf numFmtId="0" fontId="35" fillId="0" borderId="0" xfId="0" applyFont="1"/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horizontal="left" vertical="center"/>
    </xf>
    <xf numFmtId="165" fontId="33" fillId="0" borderId="1" xfId="0" applyNumberFormat="1" applyFont="1" applyBorder="1" applyAlignment="1">
      <alignment horizontal="center" vertical="center"/>
    </xf>
    <xf numFmtId="166" fontId="33" fillId="0" borderId="1" xfId="0" applyNumberFormat="1" applyFont="1" applyBorder="1" applyAlignment="1">
      <alignment vertical="center"/>
    </xf>
    <xf numFmtId="165" fontId="33" fillId="0" borderId="1" xfId="0" applyNumberFormat="1" applyFont="1" applyBorder="1" applyAlignment="1">
      <alignment vertical="center"/>
    </xf>
    <xf numFmtId="164" fontId="33" fillId="0" borderId="1" xfId="0" applyNumberFormat="1" applyFont="1" applyBorder="1" applyAlignment="1">
      <alignment vertical="center"/>
    </xf>
    <xf numFmtId="3" fontId="33" fillId="0" borderId="1" xfId="0" applyNumberFormat="1" applyFont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166" fontId="33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49" fontId="33" fillId="0" borderId="3" xfId="0" applyNumberFormat="1" applyFont="1" applyBorder="1" applyAlignment="1">
      <alignment horizontal="right" vertical="center"/>
    </xf>
    <xf numFmtId="0" fontId="33" fillId="2" borderId="2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65" fontId="33" fillId="0" borderId="2" xfId="0" applyNumberFormat="1" applyFont="1" applyBorder="1" applyAlignment="1">
      <alignment horizontal="center" vertical="center"/>
    </xf>
    <xf numFmtId="164" fontId="33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164" fontId="34" fillId="0" borderId="2" xfId="0" applyNumberFormat="1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164" fontId="3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49" fontId="23" fillId="2" borderId="2" xfId="0" applyNumberFormat="1" applyFont="1" applyFill="1" applyBorder="1" applyAlignment="1">
      <alignment horizontal="center" vertical="center"/>
    </xf>
    <xf numFmtId="49" fontId="33" fillId="0" borderId="2" xfId="0" applyNumberFormat="1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49" fontId="33" fillId="2" borderId="2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33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3" fillId="3" borderId="2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49" fontId="23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3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49" fontId="23" fillId="3" borderId="0" xfId="0" applyNumberFormat="1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165" fontId="33" fillId="3" borderId="0" xfId="0" applyNumberFormat="1" applyFont="1" applyFill="1" applyAlignment="1">
      <alignment horizontal="center" vertical="center"/>
    </xf>
    <xf numFmtId="49" fontId="33" fillId="3" borderId="0" xfId="0" applyNumberFormat="1" applyFont="1" applyFill="1" applyAlignment="1">
      <alignment horizontal="center" vertical="center"/>
    </xf>
    <xf numFmtId="164" fontId="33" fillId="3" borderId="0" xfId="0" applyNumberFormat="1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164" fontId="34" fillId="3" borderId="0" xfId="0" applyNumberFormat="1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165" fontId="25" fillId="3" borderId="0" xfId="0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3" fontId="33" fillId="3" borderId="0" xfId="0" applyNumberFormat="1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165" fontId="31" fillId="3" borderId="0" xfId="0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/>
    <xf numFmtId="0" fontId="34" fillId="2" borderId="2" xfId="0" applyFont="1" applyFill="1" applyBorder="1" applyAlignment="1">
      <alignment vertical="center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8" fillId="0" borderId="0" xfId="0" applyFont="1"/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118"/>
  <sheetViews>
    <sheetView zoomScaleNormal="100" workbookViewId="0">
      <selection activeCell="K106" sqref="K106"/>
    </sheetView>
  </sheetViews>
  <sheetFormatPr defaultColWidth="8.5" defaultRowHeight="16.899999999999999" customHeight="1" x14ac:dyDescent="0.2"/>
  <cols>
    <col min="1" max="1" width="22.75" style="1" customWidth="1"/>
    <col min="2" max="2" width="16.75" style="1" customWidth="1"/>
    <col min="3" max="3" width="25.75" style="1" customWidth="1"/>
    <col min="4" max="4" width="11.75" style="1" customWidth="1"/>
    <col min="5" max="5" width="11.75" style="3" customWidth="1"/>
    <col min="6" max="6" width="11.75" style="2" customWidth="1"/>
    <col min="7" max="7" width="4.875" style="4" customWidth="1"/>
    <col min="8" max="8" width="12.25" style="5" customWidth="1"/>
    <col min="9" max="9" width="22.625" style="1" customWidth="1"/>
    <col min="10" max="10" width="15.25" style="1" customWidth="1"/>
    <col min="11" max="11" width="21.875" style="1" customWidth="1"/>
    <col min="12" max="12" width="11.75" style="1" customWidth="1"/>
    <col min="13" max="13" width="7.125" style="1" customWidth="1"/>
    <col min="14" max="15" width="11.75" style="1" customWidth="1"/>
    <col min="16" max="16384" width="8.5" style="1"/>
  </cols>
  <sheetData>
    <row r="1" spans="1:17" ht="16.899999999999999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5"/>
      <c r="F1" s="9" t="s">
        <v>4</v>
      </c>
      <c r="G1" s="9" t="s">
        <v>5</v>
      </c>
      <c r="H1" s="17"/>
      <c r="I1" s="53"/>
      <c r="J1" s="53"/>
      <c r="K1" s="53"/>
      <c r="L1" s="53"/>
      <c r="M1" s="54"/>
      <c r="N1" s="54"/>
      <c r="O1" s="54"/>
      <c r="P1" s="54"/>
      <c r="Q1" s="55"/>
    </row>
    <row r="2" spans="1:17" ht="16.899999999999999" customHeight="1" x14ac:dyDescent="0.2">
      <c r="A2" s="7"/>
      <c r="B2" s="8"/>
      <c r="C2" s="7"/>
      <c r="D2" s="7"/>
      <c r="E2" s="10"/>
      <c r="F2" s="11"/>
      <c r="G2" s="9"/>
      <c r="H2" s="17"/>
      <c r="I2" s="53"/>
      <c r="J2" s="53"/>
      <c r="K2" s="53"/>
      <c r="L2" s="53"/>
      <c r="M2" s="56"/>
      <c r="N2" s="56"/>
      <c r="O2" s="56"/>
      <c r="P2" s="57"/>
      <c r="Q2" s="58"/>
    </row>
    <row r="3" spans="1:17" ht="16.899999999999999" customHeight="1" x14ac:dyDescent="0.2">
      <c r="A3" s="7" t="s">
        <v>6</v>
      </c>
      <c r="B3" s="8" t="s">
        <v>7</v>
      </c>
      <c r="C3" s="7" t="s">
        <v>8</v>
      </c>
      <c r="D3" s="12">
        <v>41</v>
      </c>
      <c r="E3" s="10"/>
      <c r="F3" s="11">
        <f t="shared" ref="F3:F16" si="0">SUM(D3)*1.5</f>
        <v>61.5</v>
      </c>
      <c r="G3" s="9" t="s">
        <v>9</v>
      </c>
      <c r="H3" s="17"/>
      <c r="I3" s="53"/>
      <c r="J3" s="53"/>
      <c r="K3" s="53"/>
      <c r="L3" s="59"/>
      <c r="M3" s="60"/>
      <c r="N3" s="61"/>
      <c r="O3" s="61"/>
      <c r="P3" s="57"/>
      <c r="Q3" s="58"/>
    </row>
    <row r="4" spans="1:17" ht="16.899999999999999" customHeight="1" x14ac:dyDescent="0.2">
      <c r="A4" s="7" t="s">
        <v>10</v>
      </c>
      <c r="B4" s="8" t="s">
        <v>7</v>
      </c>
      <c r="C4" s="7" t="s">
        <v>11</v>
      </c>
      <c r="D4" s="12">
        <v>42</v>
      </c>
      <c r="E4" s="10"/>
      <c r="F4" s="11">
        <f t="shared" si="0"/>
        <v>63</v>
      </c>
      <c r="G4" s="9" t="s">
        <v>9</v>
      </c>
      <c r="H4" s="17"/>
      <c r="I4" s="62"/>
      <c r="J4" s="53"/>
      <c r="K4" s="63"/>
      <c r="L4" s="59"/>
      <c r="M4" s="56"/>
      <c r="N4" s="61"/>
      <c r="O4" s="61"/>
      <c r="P4" s="57"/>
      <c r="Q4" s="58"/>
    </row>
    <row r="5" spans="1:17" ht="16.899999999999999" customHeight="1" x14ac:dyDescent="0.2">
      <c r="A5" s="7" t="s">
        <v>12</v>
      </c>
      <c r="B5" s="8" t="s">
        <v>7</v>
      </c>
      <c r="C5" s="7" t="s">
        <v>13</v>
      </c>
      <c r="D5" s="12">
        <v>41.5</v>
      </c>
      <c r="E5" s="10"/>
      <c r="F5" s="11">
        <f t="shared" si="0"/>
        <v>62.25</v>
      </c>
      <c r="G5" s="9" t="s">
        <v>9</v>
      </c>
      <c r="H5" s="17"/>
      <c r="I5" s="53"/>
      <c r="J5" s="53"/>
      <c r="K5" s="53"/>
      <c r="L5" s="59"/>
      <c r="M5" s="56"/>
      <c r="N5" s="61"/>
      <c r="O5" s="61"/>
      <c r="P5" s="57"/>
      <c r="Q5" s="58"/>
    </row>
    <row r="6" spans="1:17" ht="16.899999999999999" customHeight="1" x14ac:dyDescent="0.2">
      <c r="A6" s="7" t="s">
        <v>14</v>
      </c>
      <c r="B6" s="8" t="s">
        <v>7</v>
      </c>
      <c r="C6" s="7" t="s">
        <v>15</v>
      </c>
      <c r="D6" s="12">
        <v>28</v>
      </c>
      <c r="E6" s="10"/>
      <c r="F6" s="11">
        <f t="shared" si="0"/>
        <v>42</v>
      </c>
      <c r="G6" s="9" t="s">
        <v>9</v>
      </c>
      <c r="H6" s="17"/>
      <c r="I6" s="53"/>
      <c r="J6" s="53"/>
      <c r="K6" s="53"/>
      <c r="L6" s="59"/>
      <c r="M6" s="56"/>
      <c r="N6" s="61"/>
      <c r="O6" s="61"/>
      <c r="P6" s="57"/>
      <c r="Q6" s="58"/>
    </row>
    <row r="7" spans="1:17" ht="16.899999999999999" customHeight="1" x14ac:dyDescent="0.2">
      <c r="A7" s="7" t="s">
        <v>16</v>
      </c>
      <c r="B7" s="8" t="s">
        <v>7</v>
      </c>
      <c r="C7" s="7" t="s">
        <v>17</v>
      </c>
      <c r="D7" s="12">
        <v>16</v>
      </c>
      <c r="E7" s="10"/>
      <c r="F7" s="11">
        <f t="shared" si="0"/>
        <v>24</v>
      </c>
      <c r="G7" s="9" t="s">
        <v>9</v>
      </c>
      <c r="H7" s="17"/>
      <c r="I7" s="53"/>
      <c r="J7" s="53"/>
      <c r="K7" s="53"/>
      <c r="L7" s="59"/>
      <c r="M7" s="56"/>
      <c r="N7" s="61"/>
      <c r="O7" s="61"/>
      <c r="P7" s="57"/>
      <c r="Q7" s="58"/>
    </row>
    <row r="8" spans="1:17" ht="16.899999999999999" customHeight="1" x14ac:dyDescent="0.2">
      <c r="A8" s="7" t="s">
        <v>18</v>
      </c>
      <c r="B8" s="8" t="s">
        <v>7</v>
      </c>
      <c r="C8" s="7" t="s">
        <v>19</v>
      </c>
      <c r="D8" s="12">
        <v>29</v>
      </c>
      <c r="E8" s="10"/>
      <c r="F8" s="11">
        <f t="shared" si="0"/>
        <v>43.5</v>
      </c>
      <c r="G8" s="9" t="s">
        <v>9</v>
      </c>
      <c r="H8" s="17"/>
      <c r="I8" s="53"/>
      <c r="J8" s="53"/>
      <c r="K8" s="53"/>
      <c r="L8" s="59"/>
      <c r="M8" s="56"/>
      <c r="N8" s="61"/>
      <c r="O8" s="61"/>
      <c r="P8" s="57"/>
      <c r="Q8" s="58"/>
    </row>
    <row r="9" spans="1:17" ht="16.899999999999999" customHeight="1" x14ac:dyDescent="0.2">
      <c r="A9" s="7" t="s">
        <v>20</v>
      </c>
      <c r="B9" s="8" t="s">
        <v>7</v>
      </c>
      <c r="C9" s="7" t="s">
        <v>21</v>
      </c>
      <c r="D9" s="12">
        <v>28</v>
      </c>
      <c r="E9" s="10"/>
      <c r="F9" s="11">
        <f t="shared" si="0"/>
        <v>42</v>
      </c>
      <c r="G9" s="9" t="s">
        <v>9</v>
      </c>
      <c r="H9" s="17" t="s">
        <v>22</v>
      </c>
      <c r="I9" s="53"/>
      <c r="J9" s="53"/>
      <c r="K9" s="53"/>
      <c r="L9" s="59"/>
      <c r="M9" s="56"/>
      <c r="N9" s="61"/>
      <c r="O9" s="61"/>
      <c r="P9" s="57"/>
      <c r="Q9" s="55"/>
    </row>
    <row r="10" spans="1:17" ht="16.899999999999999" customHeight="1" x14ac:dyDescent="0.2">
      <c r="A10" s="7" t="s">
        <v>23</v>
      </c>
      <c r="B10" s="8" t="s">
        <v>24</v>
      </c>
      <c r="C10" s="7"/>
      <c r="D10" s="12">
        <v>10</v>
      </c>
      <c r="E10" s="10"/>
      <c r="F10" s="11">
        <f t="shared" si="0"/>
        <v>15</v>
      </c>
      <c r="G10" s="9" t="s">
        <v>9</v>
      </c>
      <c r="H10" s="17"/>
      <c r="I10" s="53"/>
      <c r="J10" s="53"/>
      <c r="K10" s="53"/>
      <c r="L10" s="59"/>
      <c r="M10" s="56"/>
      <c r="N10" s="61"/>
      <c r="O10" s="61"/>
      <c r="P10" s="57"/>
      <c r="Q10" s="58"/>
    </row>
    <row r="11" spans="1:17" ht="16.899999999999999" customHeight="1" x14ac:dyDescent="0.2">
      <c r="A11" s="7" t="s">
        <v>25</v>
      </c>
      <c r="B11" s="8" t="s">
        <v>24</v>
      </c>
      <c r="C11" s="7" t="s">
        <v>26</v>
      </c>
      <c r="D11" s="12">
        <v>20.75</v>
      </c>
      <c r="E11" s="10"/>
      <c r="F11" s="11">
        <f t="shared" si="0"/>
        <v>31.125</v>
      </c>
      <c r="G11" s="9" t="s">
        <v>9</v>
      </c>
      <c r="H11" s="17"/>
      <c r="I11" s="53"/>
      <c r="J11" s="53"/>
      <c r="K11" s="53"/>
      <c r="L11" s="59"/>
      <c r="M11" s="56"/>
      <c r="N11" s="61"/>
      <c r="O11" s="61"/>
      <c r="P11" s="57"/>
      <c r="Q11" s="58"/>
    </row>
    <row r="12" spans="1:17" ht="16.899999999999999" customHeight="1" x14ac:dyDescent="0.2">
      <c r="A12" s="7" t="s">
        <v>27</v>
      </c>
      <c r="B12" s="8" t="s">
        <v>24</v>
      </c>
      <c r="C12" s="7" t="s">
        <v>28</v>
      </c>
      <c r="D12" s="12">
        <v>44</v>
      </c>
      <c r="E12" s="10"/>
      <c r="F12" s="11">
        <f t="shared" si="0"/>
        <v>66</v>
      </c>
      <c r="G12" s="9"/>
      <c r="H12" s="17"/>
      <c r="I12" s="53"/>
      <c r="J12" s="53"/>
      <c r="K12" s="53"/>
      <c r="L12" s="59"/>
      <c r="M12" s="56"/>
      <c r="N12" s="61"/>
      <c r="O12" s="61"/>
      <c r="P12" s="64"/>
      <c r="Q12" s="58"/>
    </row>
    <row r="13" spans="1:17" ht="16.899999999999999" customHeight="1" x14ac:dyDescent="0.2">
      <c r="A13" s="7" t="s">
        <v>29</v>
      </c>
      <c r="B13" s="8" t="s">
        <v>30</v>
      </c>
      <c r="C13" s="7"/>
      <c r="D13" s="12">
        <v>19.61</v>
      </c>
      <c r="E13" s="10"/>
      <c r="F13" s="11">
        <f t="shared" si="0"/>
        <v>29.414999999999999</v>
      </c>
      <c r="G13" s="9" t="s">
        <v>9</v>
      </c>
      <c r="H13" s="17"/>
      <c r="I13" s="53"/>
      <c r="J13" s="53"/>
      <c r="K13" s="53"/>
      <c r="L13" s="59"/>
      <c r="M13" s="56"/>
      <c r="N13" s="61"/>
      <c r="O13" s="61"/>
      <c r="P13" s="57"/>
      <c r="Q13" s="58"/>
    </row>
    <row r="14" spans="1:17" ht="16.899999999999999" customHeight="1" x14ac:dyDescent="0.2">
      <c r="A14" s="7" t="s">
        <v>31</v>
      </c>
      <c r="B14" s="8" t="s">
        <v>32</v>
      </c>
      <c r="C14" s="7"/>
      <c r="D14" s="12">
        <v>64.010000000000005</v>
      </c>
      <c r="E14" s="10"/>
      <c r="F14" s="11">
        <f t="shared" si="0"/>
        <v>96.015000000000015</v>
      </c>
      <c r="G14" s="9" t="s">
        <v>33</v>
      </c>
      <c r="H14" s="17"/>
      <c r="I14" s="53"/>
      <c r="J14" s="53"/>
      <c r="K14" s="53"/>
      <c r="L14" s="59"/>
      <c r="M14" s="56"/>
      <c r="N14" s="61"/>
      <c r="O14" s="61"/>
      <c r="P14" s="57"/>
      <c r="Q14" s="58"/>
    </row>
    <row r="15" spans="1:17" ht="16.899999999999999" customHeight="1" x14ac:dyDescent="0.2">
      <c r="A15" s="7" t="s">
        <v>34</v>
      </c>
      <c r="B15" s="8" t="s">
        <v>35</v>
      </c>
      <c r="C15" s="7"/>
      <c r="D15" s="12">
        <v>85.93</v>
      </c>
      <c r="E15" s="10"/>
      <c r="F15" s="11">
        <f t="shared" si="0"/>
        <v>128.89500000000001</v>
      </c>
      <c r="G15" s="9" t="s">
        <v>33</v>
      </c>
      <c r="H15" s="17"/>
      <c r="I15" s="53"/>
      <c r="J15" s="53"/>
      <c r="K15" s="53"/>
      <c r="L15" s="59"/>
      <c r="M15" s="56"/>
      <c r="N15" s="61"/>
      <c r="O15" s="61"/>
      <c r="P15" s="57"/>
      <c r="Q15" s="58"/>
    </row>
    <row r="16" spans="1:17" ht="16.899999999999999" customHeight="1" x14ac:dyDescent="0.2">
      <c r="A16" s="7" t="s">
        <v>36</v>
      </c>
      <c r="B16" s="8" t="s">
        <v>7</v>
      </c>
      <c r="C16" s="7" t="s">
        <v>37</v>
      </c>
      <c r="D16" s="12">
        <v>49</v>
      </c>
      <c r="E16" s="10"/>
      <c r="F16" s="11">
        <f t="shared" si="0"/>
        <v>73.5</v>
      </c>
      <c r="G16" s="9" t="s">
        <v>33</v>
      </c>
      <c r="H16" s="17"/>
      <c r="I16" s="65"/>
      <c r="J16" s="53"/>
      <c r="K16" s="53"/>
      <c r="L16" s="59"/>
      <c r="M16" s="56"/>
      <c r="N16" s="61"/>
      <c r="O16" s="61"/>
      <c r="P16" s="57"/>
      <c r="Q16" s="58"/>
    </row>
    <row r="17" spans="1:17" ht="16.899999999999999" customHeight="1" x14ac:dyDescent="0.2">
      <c r="A17" s="7" t="s">
        <v>38</v>
      </c>
      <c r="B17" s="8">
        <v>1026725</v>
      </c>
      <c r="C17" s="7" t="s">
        <v>39</v>
      </c>
      <c r="D17" s="12">
        <v>241.7</v>
      </c>
      <c r="E17" s="10"/>
      <c r="F17" s="11">
        <f>SUM(D17)*1.25</f>
        <v>302.125</v>
      </c>
      <c r="G17" s="9" t="s">
        <v>40</v>
      </c>
      <c r="H17" s="17"/>
      <c r="I17" s="65"/>
      <c r="J17" s="53"/>
      <c r="K17" s="53"/>
      <c r="L17" s="59"/>
      <c r="M17" s="56"/>
      <c r="N17" s="61"/>
      <c r="O17" s="61"/>
      <c r="P17" s="57"/>
      <c r="Q17" s="58"/>
    </row>
    <row r="18" spans="1:17" ht="16.899999999999999" customHeight="1" x14ac:dyDescent="0.2">
      <c r="A18" s="7"/>
      <c r="B18" s="8"/>
      <c r="C18" s="7"/>
      <c r="D18" s="12"/>
      <c r="E18" s="10"/>
      <c r="F18" s="11">
        <f t="shared" ref="F18:F82" si="1">SUM(D18)*1.25</f>
        <v>0</v>
      </c>
      <c r="G18" s="9"/>
      <c r="H18" s="17"/>
      <c r="I18" s="53"/>
      <c r="J18" s="53"/>
      <c r="K18" s="53"/>
      <c r="L18" s="53"/>
      <c r="M18" s="54"/>
      <c r="N18" s="54"/>
      <c r="O18" s="54"/>
      <c r="P18" s="54"/>
      <c r="Q18" s="55"/>
    </row>
    <row r="19" spans="1:17" ht="16.899999999999999" customHeight="1" x14ac:dyDescent="0.2">
      <c r="A19" s="7" t="s">
        <v>41</v>
      </c>
      <c r="B19" s="8"/>
      <c r="C19" s="7" t="s">
        <v>42</v>
      </c>
      <c r="D19" s="12">
        <v>6</v>
      </c>
      <c r="E19" s="10"/>
      <c r="F19" s="11">
        <f t="shared" si="1"/>
        <v>7.5</v>
      </c>
      <c r="G19" s="9" t="s">
        <v>9</v>
      </c>
      <c r="H19" s="17"/>
      <c r="I19" s="53"/>
      <c r="J19" s="53"/>
      <c r="K19" s="53"/>
      <c r="L19" s="59"/>
      <c r="M19" s="56"/>
      <c r="N19" s="61"/>
      <c r="O19" s="61"/>
      <c r="P19" s="57"/>
      <c r="Q19" s="58"/>
    </row>
    <row r="20" spans="1:17" ht="16.899999999999999" customHeight="1" x14ac:dyDescent="0.2">
      <c r="A20" s="7" t="s">
        <v>43</v>
      </c>
      <c r="B20" s="8"/>
      <c r="C20" s="7" t="s">
        <v>42</v>
      </c>
      <c r="D20" s="12">
        <v>29</v>
      </c>
      <c r="E20" s="10"/>
      <c r="F20" s="11">
        <f t="shared" si="1"/>
        <v>36.25</v>
      </c>
      <c r="G20" s="9" t="s">
        <v>33</v>
      </c>
      <c r="H20" s="17"/>
      <c r="I20" s="65"/>
      <c r="J20" s="53"/>
      <c r="K20" s="53"/>
      <c r="L20" s="59"/>
      <c r="M20" s="56"/>
      <c r="N20" s="61"/>
      <c r="O20" s="61"/>
      <c r="P20" s="57"/>
      <c r="Q20" s="58"/>
    </row>
    <row r="21" spans="1:17" ht="16.899999999999999" customHeight="1" x14ac:dyDescent="0.2">
      <c r="A21" s="7"/>
      <c r="B21" s="8"/>
      <c r="C21" s="7"/>
      <c r="D21" s="12"/>
      <c r="E21" s="10"/>
      <c r="F21" s="11">
        <f t="shared" si="1"/>
        <v>0</v>
      </c>
      <c r="G21" s="9" t="s">
        <v>40</v>
      </c>
      <c r="H21" s="17"/>
      <c r="I21" s="53"/>
      <c r="J21" s="53"/>
      <c r="K21" s="53"/>
      <c r="L21" s="53"/>
      <c r="M21" s="54"/>
      <c r="N21" s="54"/>
      <c r="O21" s="54"/>
      <c r="P21" s="54"/>
      <c r="Q21" s="55"/>
    </row>
    <row r="22" spans="1:17" ht="16.899999999999999" customHeight="1" x14ac:dyDescent="0.2">
      <c r="A22" s="7" t="s">
        <v>44</v>
      </c>
      <c r="B22" s="8" t="s">
        <v>45</v>
      </c>
      <c r="C22" s="7"/>
      <c r="D22" s="12">
        <v>20.100000000000001</v>
      </c>
      <c r="E22" s="10"/>
      <c r="F22" s="11">
        <f t="shared" si="1"/>
        <v>25.125</v>
      </c>
      <c r="G22" s="9" t="s">
        <v>40</v>
      </c>
      <c r="H22" s="17"/>
      <c r="I22" s="53"/>
      <c r="J22" s="53"/>
      <c r="K22" s="53"/>
      <c r="L22" s="59"/>
      <c r="M22" s="56"/>
      <c r="N22" s="61"/>
      <c r="O22" s="61"/>
      <c r="P22" s="57"/>
      <c r="Q22" s="58"/>
    </row>
    <row r="23" spans="1:17" ht="16.899999999999999" customHeight="1" x14ac:dyDescent="0.2">
      <c r="A23" s="7" t="s">
        <v>46</v>
      </c>
      <c r="B23" s="8" t="s">
        <v>47</v>
      </c>
      <c r="C23" s="7"/>
      <c r="D23" s="12">
        <v>116.95</v>
      </c>
      <c r="E23" s="10"/>
      <c r="F23" s="11">
        <f t="shared" si="1"/>
        <v>146.1875</v>
      </c>
      <c r="G23" s="9" t="s">
        <v>40</v>
      </c>
      <c r="H23" s="17"/>
      <c r="I23" s="53"/>
      <c r="J23" s="53"/>
      <c r="K23" s="53"/>
      <c r="L23" s="59"/>
      <c r="M23" s="56"/>
      <c r="N23" s="61"/>
      <c r="O23" s="61"/>
      <c r="P23" s="57"/>
      <c r="Q23" s="58"/>
    </row>
    <row r="24" spans="1:17" ht="16.899999999999999" customHeight="1" x14ac:dyDescent="0.2">
      <c r="A24" s="7" t="s">
        <v>48</v>
      </c>
      <c r="B24" s="8" t="s">
        <v>49</v>
      </c>
      <c r="C24" s="7"/>
      <c r="D24" s="12">
        <v>180.1</v>
      </c>
      <c r="E24" s="10"/>
      <c r="F24" s="11">
        <f t="shared" si="1"/>
        <v>225.125</v>
      </c>
      <c r="G24" s="9" t="s">
        <v>40</v>
      </c>
      <c r="H24" s="17"/>
      <c r="I24" s="53"/>
      <c r="J24" s="53"/>
      <c r="K24" s="53"/>
      <c r="L24" s="59"/>
      <c r="M24" s="56"/>
      <c r="N24" s="61"/>
      <c r="O24" s="61"/>
      <c r="P24" s="57"/>
      <c r="Q24" s="58"/>
    </row>
    <row r="25" spans="1:17" ht="16.899999999999999" customHeight="1" x14ac:dyDescent="0.2">
      <c r="A25" s="7" t="s">
        <v>50</v>
      </c>
      <c r="B25" s="8" t="s">
        <v>51</v>
      </c>
      <c r="C25" s="7"/>
      <c r="D25" s="12">
        <v>161.31</v>
      </c>
      <c r="E25" s="10"/>
      <c r="F25" s="11">
        <f t="shared" si="1"/>
        <v>201.63749999999999</v>
      </c>
      <c r="G25" s="9" t="s">
        <v>40</v>
      </c>
      <c r="H25" s="17"/>
      <c r="I25" s="53"/>
      <c r="J25" s="53"/>
      <c r="K25" s="53"/>
      <c r="L25" s="59"/>
      <c r="M25" s="56"/>
      <c r="N25" s="61"/>
      <c r="O25" s="61"/>
      <c r="P25" s="57"/>
      <c r="Q25" s="58"/>
    </row>
    <row r="26" spans="1:17" ht="16.899999999999999" customHeight="1" x14ac:dyDescent="0.2">
      <c r="A26" s="7" t="s">
        <v>52</v>
      </c>
      <c r="B26" s="7" t="s">
        <v>53</v>
      </c>
      <c r="C26" s="7"/>
      <c r="D26" s="12">
        <v>309.95</v>
      </c>
      <c r="E26" s="10"/>
      <c r="F26" s="11">
        <f t="shared" si="1"/>
        <v>387.4375</v>
      </c>
      <c r="G26" s="9" t="s">
        <v>40</v>
      </c>
      <c r="H26" s="17"/>
      <c r="I26" s="53"/>
      <c r="J26" s="53"/>
      <c r="K26" s="53"/>
      <c r="L26" s="59"/>
      <c r="M26" s="56"/>
      <c r="N26" s="61"/>
      <c r="O26" s="61"/>
      <c r="P26" s="57"/>
      <c r="Q26" s="58"/>
    </row>
    <row r="27" spans="1:17" ht="16.899999999999999" customHeight="1" x14ac:dyDescent="0.2">
      <c r="A27" s="7" t="s">
        <v>54</v>
      </c>
      <c r="B27" s="7" t="s">
        <v>55</v>
      </c>
      <c r="C27" s="7"/>
      <c r="D27" s="12">
        <v>35.31</v>
      </c>
      <c r="E27" s="10"/>
      <c r="F27" s="11">
        <f t="shared" si="1"/>
        <v>44.137500000000003</v>
      </c>
      <c r="G27" s="9" t="s">
        <v>40</v>
      </c>
      <c r="H27" s="17"/>
      <c r="I27" s="53"/>
      <c r="J27" s="53"/>
      <c r="K27" s="53"/>
      <c r="L27" s="59"/>
      <c r="M27" s="56"/>
      <c r="N27" s="61"/>
      <c r="O27" s="61"/>
      <c r="P27" s="57"/>
      <c r="Q27" s="58"/>
    </row>
    <row r="28" spans="1:17" ht="16.899999999999999" customHeight="1" x14ac:dyDescent="0.2">
      <c r="A28" s="7" t="s">
        <v>56</v>
      </c>
      <c r="B28" s="7" t="s">
        <v>57</v>
      </c>
      <c r="C28" s="7"/>
      <c r="D28" s="12">
        <v>15.12</v>
      </c>
      <c r="E28" s="10"/>
      <c r="F28" s="11">
        <f t="shared" si="1"/>
        <v>18.899999999999999</v>
      </c>
      <c r="G28" s="9" t="s">
        <v>40</v>
      </c>
      <c r="H28" s="17"/>
      <c r="I28" s="53"/>
      <c r="J28" s="53"/>
      <c r="K28" s="53"/>
      <c r="L28" s="59"/>
      <c r="M28" s="56"/>
      <c r="N28" s="61"/>
      <c r="O28" s="61"/>
      <c r="P28" s="57"/>
      <c r="Q28" s="58"/>
    </row>
    <row r="29" spans="1:17" ht="16.899999999999999" customHeight="1" x14ac:dyDescent="0.2">
      <c r="A29" s="7" t="s">
        <v>58</v>
      </c>
      <c r="B29" s="13" t="s">
        <v>59</v>
      </c>
      <c r="C29" s="7"/>
      <c r="D29" s="12">
        <v>121</v>
      </c>
      <c r="E29" s="10"/>
      <c r="F29" s="11">
        <f t="shared" si="1"/>
        <v>151.25</v>
      </c>
      <c r="G29" s="9" t="s">
        <v>40</v>
      </c>
      <c r="H29" s="17"/>
      <c r="I29" s="53"/>
      <c r="J29" s="66"/>
      <c r="K29" s="53"/>
      <c r="L29" s="59"/>
      <c r="M29" s="56"/>
      <c r="N29" s="61"/>
      <c r="O29" s="61"/>
      <c r="P29" s="57"/>
      <c r="Q29" s="58"/>
    </row>
    <row r="30" spans="1:17" ht="16.899999999999999" customHeight="1" x14ac:dyDescent="0.2">
      <c r="A30" s="7" t="s">
        <v>60</v>
      </c>
      <c r="B30" s="7" t="s">
        <v>61</v>
      </c>
      <c r="C30" s="7"/>
      <c r="D30" s="12">
        <v>19.82</v>
      </c>
      <c r="E30" s="10"/>
      <c r="F30" s="11">
        <f t="shared" si="1"/>
        <v>24.774999999999999</v>
      </c>
      <c r="G30" s="9" t="s">
        <v>40</v>
      </c>
      <c r="H30" s="17"/>
      <c r="I30" s="53"/>
      <c r="J30" s="53"/>
      <c r="K30" s="53"/>
      <c r="L30" s="59"/>
      <c r="M30" s="56"/>
      <c r="N30" s="61"/>
      <c r="O30" s="61"/>
      <c r="P30" s="57"/>
      <c r="Q30" s="58"/>
    </row>
    <row r="31" spans="1:17" ht="16.899999999999999" customHeight="1" x14ac:dyDescent="0.2">
      <c r="A31" s="7" t="s">
        <v>62</v>
      </c>
      <c r="B31" s="7" t="s">
        <v>63</v>
      </c>
      <c r="C31" s="7"/>
      <c r="D31" s="12">
        <v>65.48</v>
      </c>
      <c r="E31" s="10"/>
      <c r="F31" s="11">
        <f t="shared" si="1"/>
        <v>81.850000000000009</v>
      </c>
      <c r="G31" s="9" t="s">
        <v>40</v>
      </c>
      <c r="H31" s="17"/>
      <c r="I31" s="53"/>
      <c r="J31" s="53"/>
      <c r="K31" s="53"/>
      <c r="L31" s="59"/>
      <c r="M31" s="56"/>
      <c r="N31" s="61"/>
      <c r="O31" s="61"/>
      <c r="P31" s="57"/>
      <c r="Q31" s="58"/>
    </row>
    <row r="32" spans="1:17" ht="16.899999999999999" customHeight="1" x14ac:dyDescent="0.2">
      <c r="A32" s="7" t="s">
        <v>64</v>
      </c>
      <c r="B32" s="7" t="s">
        <v>65</v>
      </c>
      <c r="C32" s="7"/>
      <c r="D32" s="12">
        <v>77.55</v>
      </c>
      <c r="E32" s="10"/>
      <c r="F32" s="11">
        <f t="shared" si="1"/>
        <v>96.9375</v>
      </c>
      <c r="G32" s="9" t="s">
        <v>40</v>
      </c>
      <c r="H32" s="17"/>
      <c r="I32" s="53"/>
      <c r="J32" s="53"/>
      <c r="K32" s="53"/>
      <c r="L32" s="59"/>
      <c r="M32" s="56"/>
      <c r="N32" s="61"/>
      <c r="O32" s="61"/>
      <c r="P32" s="57"/>
      <c r="Q32" s="58"/>
    </row>
    <row r="33" spans="1:17" ht="16.899999999999999" customHeight="1" x14ac:dyDescent="0.2">
      <c r="A33" s="7" t="s">
        <v>66</v>
      </c>
      <c r="B33" s="7" t="s">
        <v>67</v>
      </c>
      <c r="C33" s="7"/>
      <c r="D33" s="12">
        <v>0</v>
      </c>
      <c r="E33" s="10"/>
      <c r="F33" s="11">
        <f t="shared" si="1"/>
        <v>0</v>
      </c>
      <c r="G33" s="9" t="s">
        <v>9</v>
      </c>
      <c r="H33" s="17"/>
      <c r="I33" s="53"/>
      <c r="J33" s="53"/>
      <c r="K33" s="53"/>
      <c r="L33" s="59"/>
      <c r="M33" s="56"/>
      <c r="N33" s="56"/>
      <c r="O33" s="61"/>
      <c r="P33" s="57"/>
      <c r="Q33" s="58"/>
    </row>
    <row r="34" spans="1:17" ht="16.899999999999999" customHeight="1" x14ac:dyDescent="0.2">
      <c r="A34" s="7" t="s">
        <v>68</v>
      </c>
      <c r="B34" s="7" t="s">
        <v>69</v>
      </c>
      <c r="C34" s="7"/>
      <c r="D34" s="12">
        <v>59</v>
      </c>
      <c r="E34" s="10"/>
      <c r="F34" s="11">
        <f t="shared" si="1"/>
        <v>73.75</v>
      </c>
      <c r="G34" s="9" t="s">
        <v>9</v>
      </c>
      <c r="H34" s="17"/>
      <c r="I34" s="53"/>
      <c r="J34" s="53"/>
      <c r="K34" s="53"/>
      <c r="L34" s="59"/>
      <c r="M34" s="56"/>
      <c r="N34" s="61"/>
      <c r="O34" s="61"/>
      <c r="P34" s="57"/>
      <c r="Q34" s="58"/>
    </row>
    <row r="35" spans="1:17" ht="16.899999999999999" customHeight="1" x14ac:dyDescent="0.2">
      <c r="A35" s="7" t="s">
        <v>70</v>
      </c>
      <c r="B35" s="7" t="s">
        <v>71</v>
      </c>
      <c r="C35" s="7"/>
      <c r="D35" s="12">
        <v>88</v>
      </c>
      <c r="E35" s="10"/>
      <c r="F35" s="11">
        <f t="shared" si="1"/>
        <v>110</v>
      </c>
      <c r="G35" s="9" t="s">
        <v>40</v>
      </c>
      <c r="H35" s="17"/>
      <c r="I35" s="53"/>
      <c r="J35" s="53"/>
      <c r="K35" s="53"/>
      <c r="L35" s="59"/>
      <c r="M35" s="56"/>
      <c r="N35" s="61"/>
      <c r="O35" s="61"/>
      <c r="P35" s="57"/>
      <c r="Q35" s="58"/>
    </row>
    <row r="36" spans="1:17" ht="16.899999999999999" customHeight="1" x14ac:dyDescent="0.2">
      <c r="A36" s="7" t="s">
        <v>72</v>
      </c>
      <c r="B36" s="7" t="s">
        <v>73</v>
      </c>
      <c r="C36" s="7"/>
      <c r="D36" s="12">
        <v>54.9</v>
      </c>
      <c r="E36" s="10"/>
      <c r="F36" s="11">
        <f t="shared" si="1"/>
        <v>68.625</v>
      </c>
      <c r="G36" s="9" t="s">
        <v>40</v>
      </c>
      <c r="H36" s="17"/>
      <c r="I36" s="53"/>
      <c r="J36" s="53"/>
      <c r="K36" s="53"/>
      <c r="L36" s="59"/>
      <c r="M36" s="56"/>
      <c r="N36" s="61"/>
      <c r="O36" s="61"/>
      <c r="P36" s="57"/>
      <c r="Q36" s="58"/>
    </row>
    <row r="37" spans="1:17" ht="16.899999999999999" customHeight="1" x14ac:dyDescent="0.2">
      <c r="A37" s="7" t="s">
        <v>74</v>
      </c>
      <c r="B37" s="7" t="s">
        <v>75</v>
      </c>
      <c r="C37" s="7"/>
      <c r="D37" s="12">
        <v>54.9</v>
      </c>
      <c r="E37" s="10"/>
      <c r="F37" s="11">
        <f t="shared" si="1"/>
        <v>68.625</v>
      </c>
      <c r="G37" s="9" t="s">
        <v>40</v>
      </c>
      <c r="H37" s="17"/>
      <c r="I37" s="53"/>
      <c r="J37" s="53"/>
      <c r="K37" s="53"/>
      <c r="L37" s="59"/>
      <c r="M37" s="56"/>
      <c r="N37" s="61"/>
      <c r="O37" s="61"/>
      <c r="P37" s="57"/>
      <c r="Q37" s="58"/>
    </row>
    <row r="38" spans="1:17" ht="16.899999999999999" customHeight="1" x14ac:dyDescent="0.2">
      <c r="A38" s="7" t="s">
        <v>76</v>
      </c>
      <c r="B38" s="7" t="s">
        <v>77</v>
      </c>
      <c r="C38" s="7"/>
      <c r="D38" s="12">
        <v>9.89</v>
      </c>
      <c r="E38" s="10"/>
      <c r="F38" s="11">
        <f t="shared" si="1"/>
        <v>12.362500000000001</v>
      </c>
      <c r="G38" s="9" t="s">
        <v>40</v>
      </c>
      <c r="H38" s="17"/>
      <c r="I38" s="53"/>
      <c r="J38" s="53"/>
      <c r="K38" s="53"/>
      <c r="L38" s="59"/>
      <c r="M38" s="56"/>
      <c r="N38" s="61"/>
      <c r="O38" s="61"/>
      <c r="P38" s="57"/>
      <c r="Q38" s="58"/>
    </row>
    <row r="39" spans="1:17" ht="16.899999999999999" customHeight="1" x14ac:dyDescent="0.2">
      <c r="A39" s="7" t="s">
        <v>78</v>
      </c>
      <c r="B39" s="7" t="s">
        <v>79</v>
      </c>
      <c r="C39" s="7"/>
      <c r="D39" s="12">
        <v>113.74</v>
      </c>
      <c r="E39" s="10"/>
      <c r="F39" s="11">
        <f t="shared" si="1"/>
        <v>142.17499999999998</v>
      </c>
      <c r="G39" s="9" t="s">
        <v>40</v>
      </c>
      <c r="H39" s="17"/>
      <c r="I39" s="53"/>
      <c r="J39" s="53"/>
      <c r="K39" s="53"/>
      <c r="L39" s="59"/>
      <c r="M39" s="56"/>
      <c r="N39" s="61"/>
      <c r="O39" s="61"/>
      <c r="P39" s="57"/>
      <c r="Q39" s="58"/>
    </row>
    <row r="40" spans="1:17" ht="16.899999999999999" customHeight="1" x14ac:dyDescent="0.2">
      <c r="A40" s="7" t="s">
        <v>80</v>
      </c>
      <c r="B40" s="7" t="s">
        <v>81</v>
      </c>
      <c r="C40" s="7"/>
      <c r="D40" s="12">
        <v>3.29</v>
      </c>
      <c r="E40" s="10"/>
      <c r="F40" s="11">
        <f t="shared" si="1"/>
        <v>4.1124999999999998</v>
      </c>
      <c r="G40" s="9" t="s">
        <v>40</v>
      </c>
      <c r="H40" s="17"/>
      <c r="I40" s="53"/>
      <c r="J40" s="53"/>
      <c r="K40" s="53"/>
      <c r="L40" s="59"/>
      <c r="M40" s="56"/>
      <c r="N40" s="61"/>
      <c r="O40" s="61"/>
      <c r="P40" s="57"/>
      <c r="Q40" s="58"/>
    </row>
    <row r="41" spans="1:17" ht="16.899999999999999" customHeight="1" x14ac:dyDescent="0.2">
      <c r="A41" s="7"/>
      <c r="B41" s="7"/>
      <c r="C41" s="7"/>
      <c r="D41" s="12"/>
      <c r="E41" s="10"/>
      <c r="F41" s="11">
        <f t="shared" si="1"/>
        <v>0</v>
      </c>
      <c r="G41" s="9"/>
      <c r="H41" s="17"/>
      <c r="I41" s="53"/>
      <c r="J41" s="53"/>
      <c r="K41" s="53"/>
      <c r="L41" s="53"/>
      <c r="M41" s="54"/>
      <c r="N41" s="54"/>
      <c r="O41" s="54"/>
      <c r="P41" s="54"/>
      <c r="Q41" s="55"/>
    </row>
    <row r="42" spans="1:17" ht="16.899999999999999" customHeight="1" x14ac:dyDescent="0.2">
      <c r="A42" s="7" t="s">
        <v>82</v>
      </c>
      <c r="B42" s="7" t="s">
        <v>83</v>
      </c>
      <c r="C42" s="7"/>
      <c r="D42" s="12">
        <v>730</v>
      </c>
      <c r="E42" s="10"/>
      <c r="F42" s="11">
        <f t="shared" si="1"/>
        <v>912.5</v>
      </c>
      <c r="G42" s="9" t="s">
        <v>40</v>
      </c>
      <c r="H42" s="17"/>
      <c r="I42" s="53"/>
      <c r="J42" s="53"/>
      <c r="K42" s="53"/>
      <c r="L42" s="59"/>
      <c r="M42" s="56"/>
      <c r="N42" s="61"/>
      <c r="O42" s="61"/>
      <c r="P42" s="57"/>
      <c r="Q42" s="58"/>
    </row>
    <row r="43" spans="1:17" ht="16.899999999999999" customHeight="1" x14ac:dyDescent="0.2">
      <c r="A43" s="7"/>
      <c r="B43" s="7"/>
      <c r="C43" s="7"/>
      <c r="D43" s="12"/>
      <c r="E43" s="10"/>
      <c r="F43" s="11">
        <f t="shared" si="1"/>
        <v>0</v>
      </c>
      <c r="G43" s="9"/>
      <c r="H43" s="17"/>
      <c r="I43" s="53"/>
      <c r="J43" s="53"/>
      <c r="K43" s="53"/>
      <c r="L43" s="53"/>
      <c r="M43" s="54"/>
      <c r="N43" s="54"/>
      <c r="O43" s="54"/>
      <c r="P43" s="54"/>
      <c r="Q43" s="55"/>
    </row>
    <row r="44" spans="1:17" ht="16.899999999999999" customHeight="1" x14ac:dyDescent="0.2">
      <c r="A44" s="7" t="s">
        <v>84</v>
      </c>
      <c r="B44" s="7" t="s">
        <v>85</v>
      </c>
      <c r="C44" s="7"/>
      <c r="D44" s="12">
        <v>312.76</v>
      </c>
      <c r="E44" s="10"/>
      <c r="F44" s="11">
        <f t="shared" si="1"/>
        <v>390.95</v>
      </c>
      <c r="G44" s="9" t="s">
        <v>40</v>
      </c>
      <c r="H44" s="17" t="s">
        <v>86</v>
      </c>
      <c r="I44" s="67"/>
      <c r="J44" s="53"/>
      <c r="K44" s="60"/>
      <c r="L44" s="59"/>
      <c r="M44" s="56"/>
      <c r="N44" s="61"/>
      <c r="O44" s="61"/>
      <c r="P44" s="57"/>
      <c r="Q44" s="58"/>
    </row>
    <row r="45" spans="1:17" ht="16.899999999999999" customHeight="1" x14ac:dyDescent="0.2">
      <c r="A45" s="7" t="s">
        <v>87</v>
      </c>
      <c r="B45" s="7" t="s">
        <v>88</v>
      </c>
      <c r="C45" s="7"/>
      <c r="D45" s="12">
        <v>100.52</v>
      </c>
      <c r="E45" s="10"/>
      <c r="F45" s="11">
        <f t="shared" si="1"/>
        <v>125.64999999999999</v>
      </c>
      <c r="G45" s="9" t="s">
        <v>40</v>
      </c>
      <c r="H45" s="17" t="s">
        <v>89</v>
      </c>
      <c r="I45" s="53"/>
      <c r="J45" s="53"/>
      <c r="K45" s="60"/>
      <c r="L45" s="59"/>
      <c r="M45" s="56"/>
      <c r="N45" s="61"/>
      <c r="O45" s="61"/>
      <c r="P45" s="57"/>
      <c r="Q45" s="58"/>
    </row>
    <row r="46" spans="1:17" ht="16.899999999999999" customHeight="1" x14ac:dyDescent="0.2">
      <c r="A46" s="7" t="s">
        <v>90</v>
      </c>
      <c r="B46" s="7" t="s">
        <v>91</v>
      </c>
      <c r="C46" s="7"/>
      <c r="D46" s="12">
        <v>98.73</v>
      </c>
      <c r="E46" s="10"/>
      <c r="F46" s="11">
        <f t="shared" si="1"/>
        <v>123.41250000000001</v>
      </c>
      <c r="G46" s="9" t="s">
        <v>40</v>
      </c>
      <c r="H46" s="17" t="s">
        <v>89</v>
      </c>
      <c r="I46" s="53"/>
      <c r="J46" s="53"/>
      <c r="K46" s="60"/>
      <c r="L46" s="59"/>
      <c r="M46" s="56"/>
      <c r="N46" s="61"/>
      <c r="O46" s="61"/>
      <c r="P46" s="57"/>
      <c r="Q46" s="58"/>
    </row>
    <row r="47" spans="1:17" ht="16.899999999999999" customHeight="1" x14ac:dyDescent="0.2">
      <c r="A47" s="7" t="s">
        <v>92</v>
      </c>
      <c r="B47" s="7" t="s">
        <v>93</v>
      </c>
      <c r="C47" s="7"/>
      <c r="D47" s="12">
        <v>67.099999999999994</v>
      </c>
      <c r="E47" s="10"/>
      <c r="F47" s="11">
        <f t="shared" si="1"/>
        <v>83.875</v>
      </c>
      <c r="G47" s="9" t="s">
        <v>40</v>
      </c>
      <c r="H47" s="17" t="s">
        <v>89</v>
      </c>
      <c r="I47" s="53"/>
      <c r="J47" s="53"/>
      <c r="K47" s="60"/>
      <c r="L47" s="59"/>
      <c r="M47" s="56"/>
      <c r="N47" s="61"/>
      <c r="O47" s="61"/>
      <c r="P47" s="57"/>
      <c r="Q47" s="58"/>
    </row>
    <row r="48" spans="1:17" ht="16.899999999999999" customHeight="1" x14ac:dyDescent="0.2">
      <c r="A48" s="7" t="s">
        <v>94</v>
      </c>
      <c r="B48" s="7" t="s">
        <v>95</v>
      </c>
      <c r="C48" s="7"/>
      <c r="D48" s="12">
        <v>29.3</v>
      </c>
      <c r="E48" s="10"/>
      <c r="F48" s="11">
        <f>SUM(D48)*1.25</f>
        <v>36.625</v>
      </c>
      <c r="G48" s="9" t="s">
        <v>40</v>
      </c>
      <c r="H48" s="17" t="s">
        <v>96</v>
      </c>
      <c r="I48" s="53"/>
      <c r="J48" s="53"/>
      <c r="K48" s="60"/>
      <c r="L48" s="59"/>
      <c r="M48" s="56"/>
      <c r="N48" s="61"/>
      <c r="O48" s="61"/>
      <c r="P48" s="57"/>
      <c r="Q48" s="58"/>
    </row>
    <row r="49" spans="1:17" ht="16.899999999999999" customHeight="1" x14ac:dyDescent="0.2">
      <c r="A49" s="7" t="s">
        <v>97</v>
      </c>
      <c r="B49" s="7" t="s">
        <v>98</v>
      </c>
      <c r="C49" s="7"/>
      <c r="D49" s="12">
        <v>75.37</v>
      </c>
      <c r="E49" s="10"/>
      <c r="F49" s="11">
        <f>SUM(D49)*1.25</f>
        <v>94.212500000000006</v>
      </c>
      <c r="G49" s="9" t="s">
        <v>40</v>
      </c>
      <c r="H49" s="17" t="s">
        <v>99</v>
      </c>
      <c r="I49" s="53"/>
      <c r="J49" s="53"/>
      <c r="K49" s="60"/>
      <c r="L49" s="59"/>
      <c r="M49" s="56"/>
      <c r="N49" s="61"/>
      <c r="O49" s="61"/>
      <c r="P49" s="57"/>
      <c r="Q49" s="58"/>
    </row>
    <row r="50" spans="1:17" ht="16.899999999999999" customHeight="1" x14ac:dyDescent="0.2">
      <c r="A50" s="7" t="s">
        <v>100</v>
      </c>
      <c r="B50" s="8" t="s">
        <v>101</v>
      </c>
      <c r="C50" s="7"/>
      <c r="D50" s="12">
        <v>3953</v>
      </c>
      <c r="E50" s="10"/>
      <c r="F50" s="11">
        <f t="shared" si="1"/>
        <v>4941.25</v>
      </c>
      <c r="G50" s="9" t="s">
        <v>40</v>
      </c>
      <c r="H50" s="17" t="s">
        <v>99</v>
      </c>
      <c r="I50" s="53"/>
      <c r="J50" s="53"/>
      <c r="K50" s="60"/>
      <c r="L50" s="59"/>
      <c r="M50" s="56"/>
      <c r="N50" s="61"/>
      <c r="O50" s="61"/>
      <c r="P50" s="57"/>
      <c r="Q50" s="58"/>
    </row>
    <row r="51" spans="1:17" ht="16.899999999999999" customHeight="1" x14ac:dyDescent="0.2">
      <c r="A51" s="7" t="s">
        <v>102</v>
      </c>
      <c r="B51" s="8" t="s">
        <v>103</v>
      </c>
      <c r="C51" s="7"/>
      <c r="D51" s="12">
        <v>2666.6</v>
      </c>
      <c r="E51" s="10"/>
      <c r="F51" s="11">
        <f>SUM(D51)*1.25</f>
        <v>3333.25</v>
      </c>
      <c r="G51" s="9"/>
      <c r="H51" s="17" t="s">
        <v>99</v>
      </c>
      <c r="I51" s="53"/>
      <c r="J51" s="53"/>
      <c r="K51" s="60"/>
      <c r="L51" s="59"/>
      <c r="M51" s="56"/>
      <c r="N51" s="61"/>
      <c r="O51" s="61"/>
      <c r="P51" s="68"/>
      <c r="Q51" s="58"/>
    </row>
    <row r="52" spans="1:17" ht="16.899999999999999" customHeight="1" x14ac:dyDescent="0.2">
      <c r="A52" s="7" t="s">
        <v>104</v>
      </c>
      <c r="B52" s="8" t="s">
        <v>105</v>
      </c>
      <c r="C52" s="7"/>
      <c r="D52" s="12">
        <v>287.49</v>
      </c>
      <c r="E52" s="10"/>
      <c r="F52" s="11">
        <f t="shared" si="1"/>
        <v>359.36250000000001</v>
      </c>
      <c r="G52" s="9"/>
      <c r="H52" s="17" t="s">
        <v>99</v>
      </c>
      <c r="I52" s="53"/>
      <c r="J52" s="53"/>
      <c r="K52" s="60"/>
      <c r="L52" s="59"/>
      <c r="M52" s="56"/>
      <c r="N52" s="61"/>
      <c r="O52" s="61"/>
      <c r="P52" s="68"/>
      <c r="Q52" s="58"/>
    </row>
    <row r="53" spans="1:17" ht="16.899999999999999" customHeight="1" x14ac:dyDescent="0.2">
      <c r="A53" s="7" t="s">
        <v>106</v>
      </c>
      <c r="B53" s="8" t="s">
        <v>107</v>
      </c>
      <c r="C53" s="7"/>
      <c r="D53" s="12">
        <v>32.9</v>
      </c>
      <c r="E53" s="10"/>
      <c r="F53" s="11">
        <f t="shared" si="1"/>
        <v>41.125</v>
      </c>
      <c r="G53" s="9"/>
      <c r="H53" s="17" t="s">
        <v>99</v>
      </c>
      <c r="I53" s="53"/>
      <c r="J53" s="53"/>
      <c r="K53" s="60"/>
      <c r="L53" s="59"/>
      <c r="M53" s="56"/>
      <c r="N53" s="61"/>
      <c r="O53" s="61"/>
      <c r="P53" s="68"/>
      <c r="Q53" s="58"/>
    </row>
    <row r="54" spans="1:17" ht="16.899999999999999" customHeight="1" x14ac:dyDescent="0.2">
      <c r="A54" s="7" t="s">
        <v>108</v>
      </c>
      <c r="B54" s="8" t="s">
        <v>109</v>
      </c>
      <c r="C54" s="7"/>
      <c r="D54" s="12">
        <v>161.29</v>
      </c>
      <c r="E54" s="10"/>
      <c r="F54" s="11">
        <f t="shared" si="1"/>
        <v>201.61249999999998</v>
      </c>
      <c r="G54" s="9"/>
      <c r="H54" s="17" t="s">
        <v>99</v>
      </c>
      <c r="I54" s="53"/>
      <c r="J54" s="53"/>
      <c r="K54" s="60"/>
      <c r="L54" s="59"/>
      <c r="M54" s="56"/>
      <c r="N54" s="61"/>
      <c r="O54" s="61"/>
      <c r="P54" s="68"/>
      <c r="Q54" s="58"/>
    </row>
    <row r="55" spans="1:17" ht="16.899999999999999" customHeight="1" x14ac:dyDescent="0.2">
      <c r="A55" s="7" t="s">
        <v>110</v>
      </c>
      <c r="B55" s="8">
        <v>2778057</v>
      </c>
      <c r="C55" s="7"/>
      <c r="D55" s="12">
        <v>1218</v>
      </c>
      <c r="E55" s="10"/>
      <c r="F55" s="11">
        <f t="shared" si="1"/>
        <v>1522.5</v>
      </c>
      <c r="G55" s="9"/>
      <c r="H55" s="17" t="s">
        <v>111</v>
      </c>
      <c r="I55" s="53"/>
      <c r="J55" s="53"/>
      <c r="K55" s="60"/>
      <c r="L55" s="59"/>
      <c r="M55" s="56"/>
      <c r="N55" s="61"/>
      <c r="O55" s="61"/>
      <c r="P55" s="68"/>
      <c r="Q55" s="58"/>
    </row>
    <row r="56" spans="1:17" ht="16.899999999999999" customHeight="1" x14ac:dyDescent="0.2">
      <c r="A56" s="7"/>
      <c r="B56" s="7"/>
      <c r="C56" s="7"/>
      <c r="D56" s="12"/>
      <c r="E56" s="10"/>
      <c r="F56" s="11">
        <f t="shared" ref="F56" si="2">SUM(D56)*1.25</f>
        <v>0</v>
      </c>
      <c r="G56" s="9"/>
      <c r="H56" s="17"/>
      <c r="I56" s="53"/>
      <c r="J56" s="53"/>
      <c r="K56" s="53"/>
      <c r="L56" s="53"/>
      <c r="M56" s="54"/>
      <c r="N56" s="54"/>
      <c r="O56" s="54"/>
      <c r="P56" s="54"/>
      <c r="Q56" s="55"/>
    </row>
    <row r="57" spans="1:17" ht="16.899999999999999" customHeight="1" x14ac:dyDescent="0.2">
      <c r="A57" s="7"/>
      <c r="B57" s="7"/>
      <c r="C57" s="7"/>
      <c r="D57" s="12"/>
      <c r="E57" s="10"/>
      <c r="F57" s="11">
        <f t="shared" si="1"/>
        <v>0</v>
      </c>
      <c r="G57" s="9"/>
      <c r="H57" s="17"/>
      <c r="I57" s="53"/>
      <c r="J57" s="53"/>
      <c r="K57" s="53"/>
      <c r="L57" s="59"/>
      <c r="M57" s="56"/>
      <c r="N57" s="61"/>
      <c r="O57" s="61"/>
      <c r="P57" s="57"/>
      <c r="Q57" s="58"/>
    </row>
    <row r="58" spans="1:17" ht="16.899999999999999" customHeight="1" x14ac:dyDescent="0.2">
      <c r="A58" s="7" t="s">
        <v>112</v>
      </c>
      <c r="B58" s="7" t="s">
        <v>113</v>
      </c>
      <c r="C58" s="7"/>
      <c r="D58" s="12">
        <v>2.33</v>
      </c>
      <c r="E58" s="10"/>
      <c r="F58" s="11">
        <f t="shared" si="1"/>
        <v>2.9125000000000001</v>
      </c>
      <c r="G58" s="9" t="s">
        <v>40</v>
      </c>
      <c r="H58" s="17" t="s">
        <v>99</v>
      </c>
      <c r="I58" s="53"/>
      <c r="J58" s="53"/>
      <c r="K58" s="53"/>
      <c r="L58" s="59"/>
      <c r="M58" s="56"/>
      <c r="N58" s="61"/>
      <c r="O58" s="61"/>
      <c r="P58" s="57"/>
      <c r="Q58" s="58"/>
    </row>
    <row r="59" spans="1:17" ht="16.899999999999999" customHeight="1" x14ac:dyDescent="0.2">
      <c r="A59" s="7" t="s">
        <v>112</v>
      </c>
      <c r="B59" s="7" t="s">
        <v>114</v>
      </c>
      <c r="C59" s="7"/>
      <c r="D59" s="12">
        <v>3.36</v>
      </c>
      <c r="E59" s="10"/>
      <c r="F59" s="11">
        <f t="shared" si="1"/>
        <v>4.2</v>
      </c>
      <c r="G59" s="9" t="s">
        <v>40</v>
      </c>
      <c r="H59" s="17" t="s">
        <v>99</v>
      </c>
      <c r="I59" s="53"/>
      <c r="J59" s="53"/>
      <c r="K59" s="53"/>
      <c r="L59" s="59"/>
      <c r="M59" s="56"/>
      <c r="N59" s="61"/>
      <c r="O59" s="61"/>
      <c r="P59" s="57"/>
      <c r="Q59" s="58"/>
    </row>
    <row r="60" spans="1:17" ht="16.899999999999999" customHeight="1" x14ac:dyDescent="0.2">
      <c r="A60" s="7" t="s">
        <v>115</v>
      </c>
      <c r="B60" s="7" t="s">
        <v>116</v>
      </c>
      <c r="C60" s="7"/>
      <c r="D60" s="12">
        <v>156.97</v>
      </c>
      <c r="E60" s="10"/>
      <c r="F60" s="11">
        <f t="shared" si="1"/>
        <v>196.21250000000001</v>
      </c>
      <c r="G60" s="9" t="s">
        <v>40</v>
      </c>
      <c r="H60" s="17" t="s">
        <v>99</v>
      </c>
      <c r="I60" s="53"/>
      <c r="J60" s="53"/>
      <c r="K60" s="69"/>
      <c r="L60" s="59"/>
      <c r="M60" s="56"/>
      <c r="N60" s="61"/>
      <c r="O60" s="61"/>
      <c r="P60" s="57"/>
      <c r="Q60" s="58"/>
    </row>
    <row r="61" spans="1:17" ht="16.899999999999999" customHeight="1" x14ac:dyDescent="0.25">
      <c r="A61" s="7" t="s">
        <v>117</v>
      </c>
      <c r="B61" s="7" t="s">
        <v>118</v>
      </c>
      <c r="C61" s="6" t="s">
        <v>119</v>
      </c>
      <c r="D61" s="12">
        <v>200</v>
      </c>
      <c r="E61" s="10"/>
      <c r="F61" s="11">
        <f t="shared" si="1"/>
        <v>250</v>
      </c>
      <c r="G61" s="9" t="s">
        <v>40</v>
      </c>
      <c r="H61" s="17" t="s">
        <v>89</v>
      </c>
      <c r="I61" s="53"/>
      <c r="J61" s="53"/>
      <c r="K61" s="53"/>
      <c r="L61" s="59"/>
      <c r="M61" s="56"/>
      <c r="N61" s="61"/>
      <c r="O61" s="61"/>
      <c r="P61" s="57"/>
      <c r="Q61" s="58"/>
    </row>
    <row r="62" spans="1:17" ht="16.899999999999999" customHeight="1" x14ac:dyDescent="0.2">
      <c r="A62" s="7" t="s">
        <v>120</v>
      </c>
      <c r="B62" s="7" t="s">
        <v>121</v>
      </c>
      <c r="C62" s="7"/>
      <c r="D62" s="12">
        <v>160</v>
      </c>
      <c r="E62" s="10"/>
      <c r="F62" s="11">
        <f t="shared" si="1"/>
        <v>200</v>
      </c>
      <c r="G62" s="9" t="s">
        <v>40</v>
      </c>
      <c r="H62" s="17" t="s">
        <v>99</v>
      </c>
      <c r="I62" s="53"/>
      <c r="J62" s="53"/>
      <c r="K62" s="53"/>
      <c r="L62" s="53"/>
      <c r="M62" s="54"/>
      <c r="N62" s="54"/>
      <c r="O62" s="54"/>
      <c r="P62" s="54"/>
      <c r="Q62" s="55"/>
    </row>
    <row r="63" spans="1:17" ht="16.899999999999999" customHeight="1" x14ac:dyDescent="0.2">
      <c r="A63" s="7"/>
      <c r="B63" s="7"/>
      <c r="C63" s="7"/>
      <c r="D63" s="12"/>
      <c r="E63" s="10"/>
      <c r="F63" s="11">
        <f t="shared" si="1"/>
        <v>0</v>
      </c>
      <c r="G63" s="9" t="s">
        <v>40</v>
      </c>
      <c r="H63" s="17"/>
      <c r="I63" s="53"/>
      <c r="J63" s="62"/>
      <c r="K63" s="53"/>
      <c r="L63" s="59"/>
      <c r="M63" s="56"/>
      <c r="N63" s="61"/>
      <c r="O63" s="61"/>
      <c r="P63" s="57"/>
      <c r="Q63" s="58"/>
    </row>
    <row r="64" spans="1:17" ht="16.899999999999999" customHeight="1" x14ac:dyDescent="0.2">
      <c r="A64" s="7" t="s">
        <v>122</v>
      </c>
      <c r="B64" s="7" t="s">
        <v>123</v>
      </c>
      <c r="C64" s="7"/>
      <c r="D64" s="12">
        <v>1430.32</v>
      </c>
      <c r="E64" s="10"/>
      <c r="F64" s="11">
        <f t="shared" si="1"/>
        <v>1787.8999999999999</v>
      </c>
      <c r="G64" s="9" t="s">
        <v>40</v>
      </c>
      <c r="H64" s="17" t="s">
        <v>99</v>
      </c>
      <c r="I64" s="53"/>
      <c r="J64" s="53"/>
      <c r="K64" s="53"/>
      <c r="L64" s="59"/>
      <c r="M64" s="56"/>
      <c r="N64" s="61"/>
      <c r="O64" s="61"/>
      <c r="P64" s="57"/>
      <c r="Q64" s="58"/>
    </row>
    <row r="65" spans="1:17" ht="16.899999999999999" customHeight="1" x14ac:dyDescent="0.2">
      <c r="A65" s="7" t="s">
        <v>124</v>
      </c>
      <c r="B65" s="7" t="s">
        <v>125</v>
      </c>
      <c r="C65" s="7"/>
      <c r="D65" s="12">
        <v>1087.5899999999999</v>
      </c>
      <c r="E65" s="10"/>
      <c r="F65" s="11">
        <f t="shared" si="1"/>
        <v>1359.4875</v>
      </c>
      <c r="G65" s="9" t="s">
        <v>40</v>
      </c>
      <c r="H65" s="17" t="s">
        <v>89</v>
      </c>
      <c r="I65" s="53"/>
      <c r="J65" s="53"/>
      <c r="K65" s="53"/>
      <c r="L65" s="59"/>
      <c r="M65" s="56"/>
      <c r="N65" s="61"/>
      <c r="O65" s="61"/>
      <c r="P65" s="57"/>
      <c r="Q65" s="58"/>
    </row>
    <row r="66" spans="1:17" ht="16.899999999999999" customHeight="1" x14ac:dyDescent="0.2">
      <c r="A66" s="7" t="s">
        <v>126</v>
      </c>
      <c r="B66" s="7" t="s">
        <v>127</v>
      </c>
      <c r="C66" s="7"/>
      <c r="D66" s="12">
        <v>632.87</v>
      </c>
      <c r="E66" s="10"/>
      <c r="F66" s="11">
        <f t="shared" si="1"/>
        <v>791.08749999999998</v>
      </c>
      <c r="G66" s="9" t="s">
        <v>40</v>
      </c>
      <c r="H66" s="17" t="s">
        <v>99</v>
      </c>
      <c r="I66" s="62"/>
      <c r="J66" s="53"/>
      <c r="K66" s="53"/>
      <c r="L66" s="59"/>
      <c r="M66" s="56"/>
      <c r="N66" s="61"/>
      <c r="O66" s="61"/>
      <c r="P66" s="57"/>
      <c r="Q66" s="58"/>
    </row>
    <row r="67" spans="1:17" ht="16.899999999999999" customHeight="1" x14ac:dyDescent="0.2">
      <c r="A67" s="7" t="s">
        <v>128</v>
      </c>
      <c r="B67" s="7" t="s">
        <v>129</v>
      </c>
      <c r="C67" s="7"/>
      <c r="D67" s="12">
        <v>583.41999999999996</v>
      </c>
      <c r="E67" s="10"/>
      <c r="F67" s="11">
        <f t="shared" si="1"/>
        <v>729.27499999999998</v>
      </c>
      <c r="G67" s="9" t="s">
        <v>40</v>
      </c>
      <c r="H67" s="17" t="s">
        <v>99</v>
      </c>
      <c r="I67" s="53"/>
      <c r="J67" s="53"/>
      <c r="K67" s="53"/>
      <c r="L67" s="59"/>
      <c r="M67" s="56"/>
      <c r="N67" s="61"/>
      <c r="O67" s="61"/>
      <c r="P67" s="57"/>
      <c r="Q67" s="55"/>
    </row>
    <row r="68" spans="1:17" ht="16.899999999999999" customHeight="1" x14ac:dyDescent="0.2">
      <c r="A68" s="7" t="s">
        <v>130</v>
      </c>
      <c r="B68" s="7" t="s">
        <v>131</v>
      </c>
      <c r="C68" s="7"/>
      <c r="D68" s="12">
        <v>97.09</v>
      </c>
      <c r="E68" s="10"/>
      <c r="F68" s="11">
        <f t="shared" si="1"/>
        <v>121.36250000000001</v>
      </c>
      <c r="G68" s="9" t="s">
        <v>40</v>
      </c>
      <c r="H68" s="17" t="s">
        <v>99</v>
      </c>
      <c r="I68" s="53"/>
      <c r="J68" s="53"/>
      <c r="K68" s="53"/>
      <c r="L68" s="53"/>
      <c r="M68" s="54"/>
      <c r="N68" s="54"/>
      <c r="O68" s="54"/>
      <c r="P68" s="54"/>
      <c r="Q68" s="55"/>
    </row>
    <row r="69" spans="1:17" ht="16.899999999999999" customHeight="1" x14ac:dyDescent="0.2">
      <c r="A69" s="7"/>
      <c r="B69" s="7"/>
      <c r="C69" s="7"/>
      <c r="D69" s="12"/>
      <c r="E69" s="10"/>
      <c r="F69" s="11">
        <f t="shared" si="1"/>
        <v>0</v>
      </c>
      <c r="G69" s="9" t="s">
        <v>40</v>
      </c>
      <c r="H69" s="17"/>
      <c r="I69" s="53"/>
      <c r="J69" s="53"/>
      <c r="K69" s="53"/>
      <c r="L69" s="59"/>
      <c r="M69" s="56"/>
      <c r="N69" s="61"/>
      <c r="O69" s="61"/>
      <c r="P69" s="57"/>
      <c r="Q69" s="58"/>
    </row>
    <row r="70" spans="1:17" ht="16.899999999999999" customHeight="1" x14ac:dyDescent="0.2">
      <c r="A70" s="7" t="s">
        <v>132</v>
      </c>
      <c r="B70" s="7" t="s">
        <v>133</v>
      </c>
      <c r="C70" s="7"/>
      <c r="D70" s="12">
        <v>89.17</v>
      </c>
      <c r="E70" s="10"/>
      <c r="F70" s="11">
        <f>SUM(D70)*1.25</f>
        <v>111.46250000000001</v>
      </c>
      <c r="G70" s="9" t="s">
        <v>40</v>
      </c>
      <c r="H70" s="17"/>
      <c r="I70" s="53"/>
      <c r="J70" s="53"/>
      <c r="K70" s="53"/>
      <c r="L70" s="59"/>
      <c r="M70" s="56"/>
      <c r="N70" s="61"/>
      <c r="O70" s="61"/>
      <c r="P70" s="57"/>
      <c r="Q70" s="58"/>
    </row>
    <row r="71" spans="1:17" ht="16.899999999999999" customHeight="1" x14ac:dyDescent="0.2">
      <c r="A71" s="7" t="s">
        <v>134</v>
      </c>
      <c r="B71" s="7" t="s">
        <v>133</v>
      </c>
      <c r="C71" s="7"/>
      <c r="D71" s="12">
        <v>86</v>
      </c>
      <c r="E71" s="10"/>
      <c r="F71" s="11">
        <f>SUM(D71)*1.25</f>
        <v>107.5</v>
      </c>
      <c r="G71" s="9" t="s">
        <v>40</v>
      </c>
      <c r="H71" s="17"/>
      <c r="I71" s="53"/>
      <c r="J71" s="53"/>
      <c r="K71" s="53"/>
      <c r="L71" s="59"/>
      <c r="M71" s="56"/>
      <c r="N71" s="61"/>
      <c r="O71" s="61"/>
      <c r="P71" s="57"/>
      <c r="Q71" s="58"/>
    </row>
    <row r="72" spans="1:17" ht="16.899999999999999" customHeight="1" x14ac:dyDescent="0.2">
      <c r="A72" s="7" t="s">
        <v>135</v>
      </c>
      <c r="B72" s="7" t="s">
        <v>136</v>
      </c>
      <c r="C72" s="7"/>
      <c r="D72" s="12">
        <v>241.26</v>
      </c>
      <c r="E72" s="10"/>
      <c r="F72" s="11">
        <f t="shared" si="1"/>
        <v>301.57499999999999</v>
      </c>
      <c r="G72" s="9" t="s">
        <v>40</v>
      </c>
      <c r="H72" s="17"/>
      <c r="I72" s="53"/>
      <c r="J72" s="53"/>
      <c r="K72" s="53"/>
      <c r="L72" s="59"/>
      <c r="M72" s="56"/>
      <c r="N72" s="61"/>
      <c r="O72" s="61"/>
      <c r="P72" s="57"/>
      <c r="Q72" s="55"/>
    </row>
    <row r="73" spans="1:17" ht="16.899999999999999" customHeight="1" x14ac:dyDescent="0.2">
      <c r="A73" s="7" t="s">
        <v>137</v>
      </c>
      <c r="B73" s="7" t="s">
        <v>138</v>
      </c>
      <c r="C73" s="7"/>
      <c r="D73" s="12">
        <v>244.71</v>
      </c>
      <c r="E73" s="10"/>
      <c r="F73" s="11">
        <f t="shared" si="1"/>
        <v>305.88749999999999</v>
      </c>
      <c r="G73" s="9" t="s">
        <v>40</v>
      </c>
      <c r="H73" s="17" t="s">
        <v>139</v>
      </c>
      <c r="I73" s="53"/>
      <c r="J73" s="53"/>
      <c r="K73" s="53"/>
      <c r="L73" s="59"/>
      <c r="M73" s="56"/>
      <c r="N73" s="61"/>
      <c r="O73" s="61"/>
      <c r="P73" s="57"/>
      <c r="Q73" s="58"/>
    </row>
    <row r="74" spans="1:17" ht="16.899999999999999" customHeight="1" x14ac:dyDescent="0.2">
      <c r="A74" s="7" t="s">
        <v>140</v>
      </c>
      <c r="B74" s="7" t="s">
        <v>141</v>
      </c>
      <c r="C74" s="7"/>
      <c r="D74" s="12">
        <v>11.36</v>
      </c>
      <c r="E74" s="10"/>
      <c r="F74" s="11">
        <f t="shared" si="1"/>
        <v>14.2</v>
      </c>
      <c r="G74" s="9" t="s">
        <v>40</v>
      </c>
      <c r="H74" s="17"/>
      <c r="I74" s="53"/>
      <c r="J74" s="53"/>
      <c r="K74" s="53"/>
      <c r="L74" s="59"/>
      <c r="M74" s="56"/>
      <c r="N74" s="61"/>
      <c r="O74" s="61"/>
      <c r="P74" s="57"/>
      <c r="Q74" s="58"/>
    </row>
    <row r="75" spans="1:17" ht="16.899999999999999" customHeight="1" x14ac:dyDescent="0.2">
      <c r="A75" s="7" t="s">
        <v>142</v>
      </c>
      <c r="B75" s="7" t="s">
        <v>143</v>
      </c>
      <c r="C75" s="7"/>
      <c r="D75" s="12">
        <v>13.48</v>
      </c>
      <c r="E75" s="10"/>
      <c r="F75" s="11">
        <f t="shared" si="1"/>
        <v>16.850000000000001</v>
      </c>
      <c r="G75" s="9" t="s">
        <v>40</v>
      </c>
      <c r="H75" s="17"/>
      <c r="I75" s="53"/>
      <c r="J75" s="53"/>
      <c r="K75" s="53"/>
      <c r="L75" s="59"/>
      <c r="M75" s="56"/>
      <c r="N75" s="61"/>
      <c r="O75" s="61"/>
      <c r="P75" s="57"/>
      <c r="Q75" s="58"/>
    </row>
    <row r="76" spans="1:17" ht="16.899999999999999" customHeight="1" x14ac:dyDescent="0.2">
      <c r="A76" s="7" t="s">
        <v>144</v>
      </c>
      <c r="B76" s="7" t="s">
        <v>145</v>
      </c>
      <c r="C76" s="7"/>
      <c r="D76" s="12">
        <v>34.47</v>
      </c>
      <c r="E76" s="10"/>
      <c r="F76" s="11">
        <f t="shared" si="1"/>
        <v>43.087499999999999</v>
      </c>
      <c r="G76" s="9" t="s">
        <v>40</v>
      </c>
      <c r="H76" s="17"/>
      <c r="I76" s="53"/>
      <c r="J76" s="53"/>
      <c r="K76" s="53"/>
      <c r="L76" s="53"/>
      <c r="M76" s="54"/>
      <c r="N76" s="54"/>
      <c r="O76" s="54"/>
      <c r="P76" s="54"/>
      <c r="Q76" s="55"/>
    </row>
    <row r="77" spans="1:17" ht="16.899999999999999" customHeight="1" x14ac:dyDescent="0.2">
      <c r="A77" s="7"/>
      <c r="B77" s="7"/>
      <c r="C77" s="7"/>
      <c r="D77" s="12"/>
      <c r="E77" s="10"/>
      <c r="F77" s="11">
        <f t="shared" si="1"/>
        <v>0</v>
      </c>
      <c r="G77" s="9" t="s">
        <v>40</v>
      </c>
      <c r="H77" s="17"/>
      <c r="I77" s="53"/>
      <c r="J77" s="53"/>
      <c r="K77" s="53"/>
      <c r="L77" s="59"/>
      <c r="M77" s="56"/>
      <c r="N77" s="61"/>
      <c r="O77" s="61"/>
      <c r="P77" s="57"/>
      <c r="Q77" s="58"/>
    </row>
    <row r="78" spans="1:17" ht="16.899999999999999" customHeight="1" x14ac:dyDescent="0.2">
      <c r="A78" s="7" t="s">
        <v>146</v>
      </c>
      <c r="B78" s="7" t="s">
        <v>147</v>
      </c>
      <c r="C78" s="7"/>
      <c r="D78" s="12">
        <v>368.39</v>
      </c>
      <c r="E78" s="10"/>
      <c r="F78" s="11">
        <f t="shared" si="1"/>
        <v>460.48749999999995</v>
      </c>
      <c r="G78" s="9" t="s">
        <v>40</v>
      </c>
      <c r="H78" s="17"/>
      <c r="I78" s="53"/>
      <c r="J78" s="53"/>
      <c r="K78" s="53"/>
      <c r="L78" s="59"/>
      <c r="M78" s="56"/>
      <c r="N78" s="61"/>
      <c r="O78" s="61"/>
      <c r="P78" s="57"/>
      <c r="Q78" s="58"/>
    </row>
    <row r="79" spans="1:17" ht="16.899999999999999" customHeight="1" x14ac:dyDescent="0.2">
      <c r="A79" s="7" t="s">
        <v>148</v>
      </c>
      <c r="B79" s="7" t="s">
        <v>149</v>
      </c>
      <c r="C79" s="7"/>
      <c r="D79" s="12">
        <v>211.46</v>
      </c>
      <c r="E79" s="10"/>
      <c r="F79" s="11">
        <f t="shared" si="1"/>
        <v>264.32499999999999</v>
      </c>
      <c r="G79" s="9" t="s">
        <v>40</v>
      </c>
      <c r="H79" s="17"/>
      <c r="I79" s="53"/>
      <c r="J79" s="53"/>
      <c r="K79" s="53"/>
      <c r="L79" s="59"/>
      <c r="M79" s="56"/>
      <c r="N79" s="61"/>
      <c r="O79" s="61"/>
      <c r="P79" s="57"/>
      <c r="Q79" s="58"/>
    </row>
    <row r="80" spans="1:17" ht="16.899999999999999" customHeight="1" x14ac:dyDescent="0.2">
      <c r="A80" s="7" t="s">
        <v>150</v>
      </c>
      <c r="B80" s="7" t="s">
        <v>151</v>
      </c>
      <c r="C80" s="7"/>
      <c r="D80" s="12">
        <v>176.25</v>
      </c>
      <c r="E80" s="10"/>
      <c r="F80" s="11">
        <f t="shared" si="1"/>
        <v>220.3125</v>
      </c>
      <c r="G80" s="9" t="s">
        <v>40</v>
      </c>
      <c r="H80" s="17"/>
      <c r="I80" s="53"/>
      <c r="J80" s="53"/>
      <c r="K80" s="53"/>
      <c r="L80" s="59"/>
      <c r="M80" s="56"/>
      <c r="N80" s="61"/>
      <c r="O80" s="61"/>
      <c r="P80" s="57"/>
      <c r="Q80" s="58"/>
    </row>
    <row r="81" spans="1:17" ht="16.899999999999999" customHeight="1" x14ac:dyDescent="0.2">
      <c r="A81" s="7" t="s">
        <v>152</v>
      </c>
      <c r="B81" s="7" t="s">
        <v>153</v>
      </c>
      <c r="C81" s="7"/>
      <c r="D81" s="12">
        <v>189</v>
      </c>
      <c r="E81" s="10"/>
      <c r="F81" s="11">
        <f t="shared" si="1"/>
        <v>236.25</v>
      </c>
      <c r="G81" s="9" t="s">
        <v>40</v>
      </c>
      <c r="H81" s="17"/>
      <c r="I81" s="53"/>
      <c r="J81" s="53"/>
      <c r="K81" s="53"/>
      <c r="L81" s="59"/>
      <c r="M81" s="56"/>
      <c r="N81" s="61"/>
      <c r="O81" s="61"/>
      <c r="P81" s="57"/>
      <c r="Q81" s="58"/>
    </row>
    <row r="82" spans="1:17" ht="16.899999999999999" customHeight="1" x14ac:dyDescent="0.2">
      <c r="A82" s="7" t="s">
        <v>154</v>
      </c>
      <c r="B82" s="7" t="s">
        <v>155</v>
      </c>
      <c r="C82" s="7"/>
      <c r="D82" s="12">
        <v>92.19</v>
      </c>
      <c r="E82" s="10"/>
      <c r="F82" s="11">
        <f t="shared" si="1"/>
        <v>115.2375</v>
      </c>
      <c r="G82" s="9" t="s">
        <v>40</v>
      </c>
      <c r="H82" s="17"/>
      <c r="I82" s="53"/>
      <c r="J82" s="53"/>
      <c r="K82" s="53"/>
      <c r="L82" s="59"/>
      <c r="M82" s="56"/>
      <c r="N82" s="61"/>
      <c r="O82" s="61"/>
      <c r="P82" s="57"/>
      <c r="Q82" s="58"/>
    </row>
    <row r="83" spans="1:17" ht="16.899999999999999" customHeight="1" x14ac:dyDescent="0.2">
      <c r="A83" s="7" t="s">
        <v>156</v>
      </c>
      <c r="B83" s="7" t="s">
        <v>157</v>
      </c>
      <c r="C83" s="7"/>
      <c r="D83" s="12">
        <v>119.67</v>
      </c>
      <c r="E83" s="10"/>
      <c r="F83" s="11">
        <f t="shared" ref="F83:F96" si="3">SUM(D83)*1.25</f>
        <v>149.58750000000001</v>
      </c>
      <c r="G83" s="9" t="s">
        <v>40</v>
      </c>
      <c r="H83" s="17"/>
      <c r="I83" s="53"/>
      <c r="J83" s="53"/>
      <c r="K83" s="53"/>
      <c r="L83" s="53"/>
      <c r="M83" s="54"/>
      <c r="N83" s="54"/>
      <c r="O83" s="54"/>
      <c r="P83" s="54"/>
      <c r="Q83" s="55"/>
    </row>
    <row r="84" spans="1:17" ht="16.899999999999999" customHeight="1" x14ac:dyDescent="0.2">
      <c r="A84" s="7"/>
      <c r="B84" s="7"/>
      <c r="C84" s="7"/>
      <c r="D84" s="12"/>
      <c r="E84" s="10"/>
      <c r="F84" s="11">
        <f t="shared" si="3"/>
        <v>0</v>
      </c>
      <c r="G84" s="9" t="s">
        <v>40</v>
      </c>
      <c r="H84" s="17"/>
      <c r="I84" s="53"/>
      <c r="J84" s="53"/>
      <c r="K84" s="53"/>
      <c r="L84" s="59"/>
      <c r="M84" s="56"/>
      <c r="N84" s="61"/>
      <c r="O84" s="61"/>
      <c r="P84" s="57"/>
      <c r="Q84" s="58"/>
    </row>
    <row r="85" spans="1:17" ht="16.899999999999999" customHeight="1" x14ac:dyDescent="0.2">
      <c r="A85" s="7" t="s">
        <v>158</v>
      </c>
      <c r="B85" s="7"/>
      <c r="C85" s="7" t="s">
        <v>159</v>
      </c>
      <c r="D85" s="12">
        <v>540.16</v>
      </c>
      <c r="E85" s="10"/>
      <c r="F85" s="11">
        <f t="shared" si="3"/>
        <v>675.19999999999993</v>
      </c>
      <c r="G85" s="9" t="s">
        <v>40</v>
      </c>
      <c r="H85" s="17"/>
      <c r="I85" s="53"/>
      <c r="J85" s="53"/>
      <c r="K85" s="53"/>
      <c r="L85" s="59"/>
      <c r="M85" s="56"/>
      <c r="N85" s="61"/>
      <c r="O85" s="61"/>
      <c r="P85" s="57"/>
      <c r="Q85" s="58"/>
    </row>
    <row r="86" spans="1:17" ht="16.899999999999999" customHeight="1" x14ac:dyDescent="0.2">
      <c r="A86" s="7" t="s">
        <v>158</v>
      </c>
      <c r="B86" s="7"/>
      <c r="C86" s="7" t="s">
        <v>160</v>
      </c>
      <c r="D86" s="12">
        <v>2060</v>
      </c>
      <c r="E86" s="10"/>
      <c r="F86" s="11">
        <f>SUM(D86)*1.25</f>
        <v>2575</v>
      </c>
      <c r="G86" s="9" t="s">
        <v>40</v>
      </c>
      <c r="H86" s="17"/>
      <c r="I86" s="53"/>
      <c r="J86" s="53"/>
      <c r="K86" s="53"/>
      <c r="L86" s="59"/>
      <c r="M86" s="56"/>
      <c r="N86" s="61"/>
      <c r="O86" s="61"/>
      <c r="P86" s="57"/>
      <c r="Q86" s="58"/>
    </row>
    <row r="87" spans="1:17" ht="16.899999999999999" customHeight="1" x14ac:dyDescent="0.2">
      <c r="A87" s="7" t="s">
        <v>161</v>
      </c>
      <c r="B87" s="7"/>
      <c r="C87" s="7" t="s">
        <v>159</v>
      </c>
      <c r="D87" s="12">
        <v>597</v>
      </c>
      <c r="E87" s="10"/>
      <c r="F87" s="11">
        <f t="shared" si="3"/>
        <v>746.25</v>
      </c>
      <c r="G87" s="9" t="s">
        <v>40</v>
      </c>
      <c r="H87" s="17"/>
      <c r="I87" s="53"/>
      <c r="J87" s="53"/>
      <c r="K87" s="53"/>
      <c r="L87" s="59"/>
      <c r="M87" s="56"/>
      <c r="N87" s="61"/>
      <c r="O87" s="61"/>
      <c r="P87" s="57"/>
      <c r="Q87" s="58"/>
    </row>
    <row r="88" spans="1:17" ht="16.899999999999999" customHeight="1" x14ac:dyDescent="0.2">
      <c r="A88" s="7" t="s">
        <v>161</v>
      </c>
      <c r="B88" s="7"/>
      <c r="C88" s="7" t="s">
        <v>160</v>
      </c>
      <c r="D88" s="12">
        <v>2510</v>
      </c>
      <c r="E88" s="10"/>
      <c r="F88" s="11">
        <f t="shared" ref="F88" si="4">SUM(D88)*1.25</f>
        <v>3137.5</v>
      </c>
      <c r="G88" s="9" t="s">
        <v>40</v>
      </c>
      <c r="H88" s="17"/>
      <c r="I88" s="53"/>
      <c r="J88" s="53"/>
      <c r="K88" s="53"/>
      <c r="L88" s="59"/>
      <c r="M88" s="56"/>
      <c r="N88" s="61"/>
      <c r="O88" s="61"/>
      <c r="P88" s="57"/>
      <c r="Q88" s="58"/>
    </row>
    <row r="89" spans="1:17" ht="16.899999999999999" customHeight="1" x14ac:dyDescent="0.2">
      <c r="A89" s="7" t="s">
        <v>162</v>
      </c>
      <c r="B89" s="7"/>
      <c r="C89" s="7" t="s">
        <v>159</v>
      </c>
      <c r="D89" s="12">
        <v>540.16</v>
      </c>
      <c r="E89" s="10"/>
      <c r="F89" s="11">
        <f t="shared" si="3"/>
        <v>675.19999999999993</v>
      </c>
      <c r="G89" s="9" t="s">
        <v>40</v>
      </c>
      <c r="H89" s="17"/>
      <c r="I89" s="53"/>
      <c r="J89" s="53"/>
      <c r="K89" s="53"/>
      <c r="L89" s="59"/>
      <c r="M89" s="56"/>
      <c r="N89" s="61"/>
      <c r="O89" s="61"/>
      <c r="P89" s="57"/>
      <c r="Q89" s="58"/>
    </row>
    <row r="90" spans="1:17" ht="16.899999999999999" customHeight="1" x14ac:dyDescent="0.2">
      <c r="A90" s="7" t="s">
        <v>162</v>
      </c>
      <c r="B90" s="7"/>
      <c r="C90" s="7" t="s">
        <v>160</v>
      </c>
      <c r="D90" s="12">
        <v>2940</v>
      </c>
      <c r="E90" s="10"/>
      <c r="F90" s="11">
        <f t="shared" si="3"/>
        <v>3675</v>
      </c>
      <c r="G90" s="9" t="s">
        <v>40</v>
      </c>
      <c r="H90" s="17"/>
      <c r="I90" s="70"/>
      <c r="J90" s="71"/>
      <c r="K90" s="70"/>
      <c r="L90" s="70"/>
      <c r="M90" s="54"/>
      <c r="N90" s="70"/>
      <c r="O90" s="54"/>
      <c r="P90" s="54"/>
      <c r="Q90" s="58"/>
    </row>
    <row r="91" spans="1:17" ht="16.899999999999999" customHeight="1" x14ac:dyDescent="0.2">
      <c r="A91" s="16" t="s">
        <v>166</v>
      </c>
      <c r="B91" s="7"/>
      <c r="C91" s="7"/>
      <c r="D91" s="12"/>
      <c r="E91" s="10"/>
      <c r="F91" s="11">
        <v>1267</v>
      </c>
      <c r="G91" s="9" t="s">
        <v>40</v>
      </c>
      <c r="H91" s="17"/>
      <c r="I91" s="72"/>
      <c r="J91" s="53"/>
      <c r="K91" s="73"/>
      <c r="L91" s="59"/>
      <c r="M91" s="56"/>
      <c r="N91" s="61"/>
      <c r="O91" s="61"/>
      <c r="P91" s="57"/>
      <c r="Q91" s="58"/>
    </row>
    <row r="92" spans="1:17" ht="16.899999999999999" customHeight="1" x14ac:dyDescent="0.2">
      <c r="A92" s="16" t="s">
        <v>167</v>
      </c>
      <c r="B92" s="7"/>
      <c r="C92" s="7"/>
      <c r="D92" s="12"/>
      <c r="E92" s="10"/>
      <c r="F92" s="11">
        <v>650</v>
      </c>
      <c r="G92" s="9" t="s">
        <v>40</v>
      </c>
      <c r="H92" s="17"/>
      <c r="I92" s="72"/>
      <c r="J92" s="53"/>
      <c r="K92" s="74"/>
      <c r="L92" s="59"/>
      <c r="M92" s="56"/>
      <c r="N92" s="61"/>
      <c r="O92" s="61"/>
      <c r="P92" s="57"/>
      <c r="Q92" s="58"/>
    </row>
    <row r="93" spans="1:17" ht="16.899999999999999" customHeight="1" x14ac:dyDescent="0.2">
      <c r="A93" s="7"/>
      <c r="B93" s="7"/>
      <c r="C93" s="7"/>
      <c r="D93" s="12"/>
      <c r="E93" s="10"/>
      <c r="F93" s="11">
        <f t="shared" si="3"/>
        <v>0</v>
      </c>
      <c r="G93" s="9" t="s">
        <v>40</v>
      </c>
      <c r="H93" s="17"/>
      <c r="I93" s="74"/>
      <c r="J93" s="53"/>
      <c r="K93" s="74"/>
      <c r="L93" s="59"/>
      <c r="M93" s="56"/>
      <c r="N93" s="61"/>
      <c r="O93" s="61"/>
      <c r="P93" s="57"/>
      <c r="Q93" s="58"/>
    </row>
    <row r="94" spans="1:17" ht="16.899999999999999" customHeight="1" x14ac:dyDescent="0.2">
      <c r="A94" s="7"/>
      <c r="B94" s="7"/>
      <c r="C94" s="7"/>
      <c r="D94" s="12"/>
      <c r="E94" s="10"/>
      <c r="F94" s="11">
        <f t="shared" si="3"/>
        <v>0</v>
      </c>
      <c r="G94" s="9" t="s">
        <v>40</v>
      </c>
      <c r="H94" s="17"/>
      <c r="I94" s="74"/>
      <c r="J94" s="53"/>
      <c r="K94" s="74"/>
      <c r="L94" s="59"/>
      <c r="M94" s="56"/>
      <c r="N94" s="61"/>
      <c r="O94" s="61"/>
      <c r="P94" s="57"/>
      <c r="Q94" s="58"/>
    </row>
    <row r="95" spans="1:17" ht="16.899999999999999" customHeight="1" x14ac:dyDescent="0.2">
      <c r="A95" s="7"/>
      <c r="B95" s="7"/>
      <c r="C95" s="7"/>
      <c r="D95" s="12"/>
      <c r="E95" s="10"/>
      <c r="F95" s="11">
        <f t="shared" si="3"/>
        <v>0</v>
      </c>
      <c r="G95" s="9" t="s">
        <v>40</v>
      </c>
      <c r="H95" s="17"/>
      <c r="I95" s="70"/>
      <c r="J95" s="53"/>
      <c r="K95" s="53"/>
      <c r="L95" s="59"/>
      <c r="M95" s="56"/>
      <c r="N95" s="61"/>
      <c r="O95" s="61"/>
      <c r="P95" s="57"/>
      <c r="Q95" s="58"/>
    </row>
    <row r="96" spans="1:17" ht="16.899999999999999" customHeight="1" x14ac:dyDescent="0.2">
      <c r="A96" s="7"/>
      <c r="B96" s="7"/>
      <c r="C96" s="7"/>
      <c r="D96" s="12"/>
      <c r="E96" s="10"/>
      <c r="F96" s="11">
        <f t="shared" si="3"/>
        <v>0</v>
      </c>
      <c r="G96" s="9" t="s">
        <v>40</v>
      </c>
      <c r="H96" s="17"/>
      <c r="I96" s="70"/>
      <c r="J96" s="53"/>
      <c r="K96" s="70"/>
      <c r="L96" s="59"/>
      <c r="M96" s="56"/>
      <c r="N96" s="61"/>
      <c r="O96" s="61"/>
      <c r="P96" s="57"/>
      <c r="Q96" s="56"/>
    </row>
    <row r="97" spans="9:17" ht="16.899999999999999" customHeight="1" x14ac:dyDescent="0.2">
      <c r="I97" s="70"/>
      <c r="J97" s="56"/>
      <c r="K97" s="70"/>
      <c r="L97" s="59"/>
      <c r="M97" s="56"/>
      <c r="N97" s="61"/>
      <c r="O97" s="61"/>
      <c r="P97" s="57"/>
      <c r="Q97" s="56"/>
    </row>
    <row r="98" spans="9:17" ht="16.899999999999999" customHeight="1" x14ac:dyDescent="0.2">
      <c r="I98" s="75"/>
      <c r="J98" s="56"/>
      <c r="K98" s="56"/>
      <c r="L98" s="59"/>
      <c r="M98" s="56"/>
      <c r="N98" s="61"/>
      <c r="O98" s="61"/>
      <c r="P98" s="57"/>
      <c r="Q98" s="56"/>
    </row>
    <row r="99" spans="9:17" ht="16.899999999999999" customHeight="1" x14ac:dyDescent="0.2">
      <c r="I99" s="75"/>
      <c r="J99" s="56"/>
      <c r="K99" s="56"/>
      <c r="L99" s="59"/>
      <c r="M99" s="56"/>
      <c r="N99" s="61"/>
      <c r="O99" s="61"/>
      <c r="P99" s="57"/>
      <c r="Q99" s="56"/>
    </row>
    <row r="100" spans="9:17" ht="16.899999999999999" customHeight="1" x14ac:dyDescent="0.2">
      <c r="I100" s="75"/>
      <c r="J100" s="56"/>
      <c r="K100" s="56"/>
      <c r="L100" s="59"/>
      <c r="M100" s="56"/>
      <c r="N100" s="61"/>
      <c r="O100" s="61"/>
      <c r="P100" s="57"/>
      <c r="Q100" s="56"/>
    </row>
    <row r="101" spans="9:17" ht="16.899999999999999" customHeight="1" x14ac:dyDescent="0.2">
      <c r="I101" s="108"/>
      <c r="J101" s="108"/>
      <c r="K101" s="108"/>
      <c r="L101" s="108"/>
      <c r="M101" s="108"/>
      <c r="N101" s="108"/>
      <c r="O101" s="108"/>
      <c r="P101" s="108"/>
      <c r="Q101" s="56"/>
    </row>
    <row r="102" spans="9:17" ht="16.899999999999999" customHeight="1" x14ac:dyDescent="0.2">
      <c r="L102" s="30"/>
    </row>
    <row r="103" spans="9:17" ht="16.899999999999999" customHeight="1" x14ac:dyDescent="0.2">
      <c r="I103" s="31"/>
      <c r="L103" s="30"/>
    </row>
    <row r="104" spans="9:17" ht="16.899999999999999" customHeight="1" x14ac:dyDescent="0.2">
      <c r="I104" s="31"/>
      <c r="L104" s="30"/>
    </row>
    <row r="105" spans="9:17" ht="16.899999999999999" customHeight="1" x14ac:dyDescent="0.2">
      <c r="L105" s="30"/>
    </row>
    <row r="106" spans="9:17" ht="16.899999999999999" customHeight="1" x14ac:dyDescent="0.2">
      <c r="L106" s="30"/>
    </row>
    <row r="107" spans="9:17" ht="16.899999999999999" customHeight="1" x14ac:dyDescent="0.2">
      <c r="L107" s="30"/>
    </row>
    <row r="108" spans="9:17" ht="16.899999999999999" customHeight="1" x14ac:dyDescent="0.2">
      <c r="L108" s="30"/>
    </row>
    <row r="109" spans="9:17" ht="16.899999999999999" customHeight="1" x14ac:dyDescent="0.2">
      <c r="L109" s="30"/>
    </row>
    <row r="110" spans="9:17" ht="16.899999999999999" customHeight="1" x14ac:dyDescent="0.2">
      <c r="L110" s="30"/>
    </row>
    <row r="111" spans="9:17" ht="16.899999999999999" customHeight="1" x14ac:dyDescent="0.2">
      <c r="L111" s="30"/>
    </row>
    <row r="112" spans="9:17" ht="16.899999999999999" customHeight="1" x14ac:dyDescent="0.2">
      <c r="L112" s="30"/>
    </row>
    <row r="113" spans="12:12" ht="16.899999999999999" customHeight="1" x14ac:dyDescent="0.2">
      <c r="L113" s="30"/>
    </row>
    <row r="114" spans="12:12" ht="16.899999999999999" customHeight="1" x14ac:dyDescent="0.2">
      <c r="L114" s="30"/>
    </row>
    <row r="115" spans="12:12" ht="16.899999999999999" customHeight="1" x14ac:dyDescent="0.2">
      <c r="L115" s="30"/>
    </row>
    <row r="116" spans="12:12" ht="16.899999999999999" customHeight="1" x14ac:dyDescent="0.2">
      <c r="L116" s="30"/>
    </row>
    <row r="117" spans="12:12" ht="16.899999999999999" customHeight="1" x14ac:dyDescent="0.2">
      <c r="L117" s="30"/>
    </row>
    <row r="118" spans="12:12" ht="16.899999999999999" customHeight="1" x14ac:dyDescent="0.2">
      <c r="L118" s="30"/>
    </row>
  </sheetData>
  <mergeCells count="1">
    <mergeCell ref="I101:P101"/>
  </mergeCells>
  <pageMargins left="0.7" right="0.7" top="0.75" bottom="0.75" header="0.3" footer="0.3"/>
  <pageSetup paperSize="9" orientation="landscape" r:id="rId1"/>
  <headerFooter>
    <oddHeader>&amp;C&amp;"-,Normal"Artikelnummer och priser &amp;D</oddHeader>
  </headerFooter>
  <ignoredErrors>
    <ignoredError sqref="B25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C0C6-3AFE-4050-9C87-B61BAA308F48}">
  <sheetPr>
    <tabColor rgb="FFC00000"/>
  </sheetPr>
  <dimension ref="A1:K151"/>
  <sheetViews>
    <sheetView tabSelected="1" topLeftCell="A26" zoomScaleNormal="100" workbookViewId="0">
      <selection activeCell="E36" sqref="E36"/>
    </sheetView>
  </sheetViews>
  <sheetFormatPr defaultRowHeight="14.25" x14ac:dyDescent="0.2"/>
  <cols>
    <col min="1" max="1" width="23.625" customWidth="1"/>
    <col min="2" max="2" width="16.625" customWidth="1"/>
    <col min="3" max="3" width="23.625" customWidth="1"/>
    <col min="4" max="9" width="9.625" customWidth="1"/>
  </cols>
  <sheetData>
    <row r="1" spans="1:9" ht="15" x14ac:dyDescent="0.2">
      <c r="A1" s="18" t="s">
        <v>0</v>
      </c>
      <c r="B1" s="18" t="s">
        <v>1</v>
      </c>
      <c r="C1" s="18" t="s">
        <v>2</v>
      </c>
      <c r="D1" s="18" t="s">
        <v>3</v>
      </c>
      <c r="E1" s="19" t="s">
        <v>163</v>
      </c>
      <c r="F1" s="19" t="s">
        <v>164</v>
      </c>
      <c r="G1" s="19" t="s">
        <v>4</v>
      </c>
      <c r="H1" s="19" t="s">
        <v>5</v>
      </c>
      <c r="I1" s="32" t="s">
        <v>186</v>
      </c>
    </row>
    <row r="2" spans="1:9" ht="15" x14ac:dyDescent="0.2">
      <c r="A2" s="36"/>
      <c r="B2" s="36"/>
      <c r="C2" s="36"/>
      <c r="D2" s="36"/>
      <c r="E2" s="20"/>
      <c r="F2" s="20"/>
      <c r="G2" s="20"/>
      <c r="H2" s="21"/>
      <c r="I2" s="33"/>
    </row>
    <row r="3" spans="1:9" ht="15" x14ac:dyDescent="0.2">
      <c r="A3" s="36" t="s">
        <v>6</v>
      </c>
      <c r="B3" s="36" t="s">
        <v>7</v>
      </c>
      <c r="C3" s="36" t="s">
        <v>8</v>
      </c>
      <c r="D3" s="22">
        <v>41</v>
      </c>
      <c r="E3" s="23"/>
      <c r="F3" s="24">
        <f t="shared" ref="F3:F11" si="0">SUM(D3*E3)</f>
        <v>0</v>
      </c>
      <c r="G3" s="24">
        <f t="shared" ref="G3:G17" si="1">SUM(F3*1.12)</f>
        <v>0</v>
      </c>
      <c r="H3" s="21" t="s">
        <v>9</v>
      </c>
      <c r="I3" s="33"/>
    </row>
    <row r="4" spans="1:9" ht="15" x14ac:dyDescent="0.2">
      <c r="A4" s="97" t="s">
        <v>10</v>
      </c>
      <c r="B4" s="36" t="s">
        <v>7</v>
      </c>
      <c r="C4" s="81" t="s">
        <v>11</v>
      </c>
      <c r="D4" s="22">
        <v>42</v>
      </c>
      <c r="E4" s="20">
        <v>1</v>
      </c>
      <c r="F4" s="24">
        <f>SUM(D4*E4)</f>
        <v>42</v>
      </c>
      <c r="G4" s="24">
        <f t="shared" si="1"/>
        <v>47.040000000000006</v>
      </c>
      <c r="H4" s="21" t="s">
        <v>9</v>
      </c>
      <c r="I4" s="33"/>
    </row>
    <row r="5" spans="1:9" ht="15" x14ac:dyDescent="0.2">
      <c r="A5" s="36" t="s">
        <v>12</v>
      </c>
      <c r="B5" s="36" t="s">
        <v>7</v>
      </c>
      <c r="C5" s="36" t="s">
        <v>13</v>
      </c>
      <c r="D5" s="22">
        <v>41.5</v>
      </c>
      <c r="E5" s="20"/>
      <c r="F5" s="24">
        <f t="shared" si="0"/>
        <v>0</v>
      </c>
      <c r="G5" s="24">
        <f t="shared" si="1"/>
        <v>0</v>
      </c>
      <c r="H5" s="21" t="s">
        <v>9</v>
      </c>
      <c r="I5" s="33"/>
    </row>
    <row r="6" spans="1:9" ht="15" x14ac:dyDescent="0.2">
      <c r="A6" s="36" t="s">
        <v>14</v>
      </c>
      <c r="B6" s="36" t="s">
        <v>7</v>
      </c>
      <c r="C6" s="36" t="s">
        <v>15</v>
      </c>
      <c r="D6" s="22">
        <v>28</v>
      </c>
      <c r="E6" s="20"/>
      <c r="F6" s="24">
        <f t="shared" si="0"/>
        <v>0</v>
      </c>
      <c r="G6" s="24">
        <f t="shared" si="1"/>
        <v>0</v>
      </c>
      <c r="H6" s="21" t="s">
        <v>9</v>
      </c>
      <c r="I6" s="33"/>
    </row>
    <row r="7" spans="1:9" ht="15" x14ac:dyDescent="0.2">
      <c r="A7" s="36" t="s">
        <v>16</v>
      </c>
      <c r="B7" s="36" t="s">
        <v>7</v>
      </c>
      <c r="C7" s="36" t="s">
        <v>17</v>
      </c>
      <c r="D7" s="22">
        <v>16</v>
      </c>
      <c r="E7" s="20"/>
      <c r="F7" s="24">
        <f t="shared" si="0"/>
        <v>0</v>
      </c>
      <c r="G7" s="24">
        <f t="shared" si="1"/>
        <v>0</v>
      </c>
      <c r="H7" s="21" t="s">
        <v>9</v>
      </c>
      <c r="I7" s="33"/>
    </row>
    <row r="8" spans="1:9" ht="15" x14ac:dyDescent="0.2">
      <c r="A8" s="36" t="s">
        <v>18</v>
      </c>
      <c r="B8" s="36" t="s">
        <v>7</v>
      </c>
      <c r="C8" s="36" t="s">
        <v>19</v>
      </c>
      <c r="D8" s="22">
        <v>29</v>
      </c>
      <c r="E8" s="20"/>
      <c r="F8" s="24">
        <f t="shared" si="0"/>
        <v>0</v>
      </c>
      <c r="G8" s="24">
        <f t="shared" si="1"/>
        <v>0</v>
      </c>
      <c r="H8" s="21" t="s">
        <v>9</v>
      </c>
      <c r="I8" s="33"/>
    </row>
    <row r="9" spans="1:9" ht="15" x14ac:dyDescent="0.2">
      <c r="A9" s="36" t="s">
        <v>20</v>
      </c>
      <c r="B9" s="36" t="s">
        <v>7</v>
      </c>
      <c r="C9" s="36" t="s">
        <v>21</v>
      </c>
      <c r="D9" s="22">
        <v>28</v>
      </c>
      <c r="E9" s="20">
        <v>1</v>
      </c>
      <c r="F9" s="24">
        <f t="shared" si="0"/>
        <v>28</v>
      </c>
      <c r="G9" s="24">
        <f t="shared" si="1"/>
        <v>31.360000000000003</v>
      </c>
      <c r="H9" s="21" t="s">
        <v>9</v>
      </c>
      <c r="I9" s="34"/>
    </row>
    <row r="10" spans="1:9" ht="15" x14ac:dyDescent="0.2">
      <c r="A10" s="36" t="s">
        <v>23</v>
      </c>
      <c r="B10" s="36" t="s">
        <v>24</v>
      </c>
      <c r="C10" s="36"/>
      <c r="D10" s="22">
        <v>10</v>
      </c>
      <c r="E10" s="20"/>
      <c r="F10" s="24">
        <f t="shared" si="0"/>
        <v>0</v>
      </c>
      <c r="G10" s="24">
        <f t="shared" si="1"/>
        <v>0</v>
      </c>
      <c r="H10" s="21" t="s">
        <v>9</v>
      </c>
      <c r="I10" s="33"/>
    </row>
    <row r="11" spans="1:9" ht="15" x14ac:dyDescent="0.2">
      <c r="A11" s="36" t="s">
        <v>25</v>
      </c>
      <c r="B11" s="36" t="s">
        <v>24</v>
      </c>
      <c r="C11" s="36" t="s">
        <v>26</v>
      </c>
      <c r="D11" s="22">
        <v>20.75</v>
      </c>
      <c r="E11" s="20">
        <v>1</v>
      </c>
      <c r="F11" s="24">
        <f t="shared" si="0"/>
        <v>20.75</v>
      </c>
      <c r="G11" s="24">
        <f t="shared" si="1"/>
        <v>23.240000000000002</v>
      </c>
      <c r="H11" s="21" t="s">
        <v>9</v>
      </c>
      <c r="I11" s="33"/>
    </row>
    <row r="12" spans="1:9" ht="15" x14ac:dyDescent="0.2">
      <c r="A12" s="36" t="s">
        <v>27</v>
      </c>
      <c r="B12" s="36" t="s">
        <v>24</v>
      </c>
      <c r="C12" s="36" t="s">
        <v>28</v>
      </c>
      <c r="D12" s="22">
        <v>44</v>
      </c>
      <c r="E12" s="20"/>
      <c r="F12" s="24">
        <f t="shared" ref="F12:F17" si="2">SUM(D12*E12)</f>
        <v>0</v>
      </c>
      <c r="G12" s="24">
        <f t="shared" si="1"/>
        <v>0</v>
      </c>
      <c r="H12" s="25" t="s">
        <v>9</v>
      </c>
      <c r="I12" s="33"/>
    </row>
    <row r="13" spans="1:9" ht="15" x14ac:dyDescent="0.2">
      <c r="A13" s="36" t="s">
        <v>29</v>
      </c>
      <c r="B13" s="36" t="s">
        <v>30</v>
      </c>
      <c r="C13" s="36"/>
      <c r="D13" s="22">
        <v>19.61</v>
      </c>
      <c r="E13" s="20"/>
      <c r="F13" s="24">
        <f t="shared" si="2"/>
        <v>0</v>
      </c>
      <c r="G13" s="24">
        <f t="shared" si="1"/>
        <v>0</v>
      </c>
      <c r="H13" s="21" t="s">
        <v>9</v>
      </c>
      <c r="I13" s="33"/>
    </row>
    <row r="14" spans="1:9" ht="15" x14ac:dyDescent="0.2">
      <c r="A14" s="36" t="s">
        <v>31</v>
      </c>
      <c r="B14" s="36" t="s">
        <v>32</v>
      </c>
      <c r="C14" s="36"/>
      <c r="D14" s="22">
        <v>64.010000000000005</v>
      </c>
      <c r="E14" s="20"/>
      <c r="F14" s="24">
        <f t="shared" si="2"/>
        <v>0</v>
      </c>
      <c r="G14" s="24">
        <f t="shared" si="1"/>
        <v>0</v>
      </c>
      <c r="H14" s="21" t="s">
        <v>33</v>
      </c>
      <c r="I14" s="33"/>
    </row>
    <row r="15" spans="1:9" ht="15" x14ac:dyDescent="0.2">
      <c r="A15" s="36" t="s">
        <v>34</v>
      </c>
      <c r="B15" s="36" t="s">
        <v>35</v>
      </c>
      <c r="C15" s="36"/>
      <c r="D15" s="22">
        <v>85.93</v>
      </c>
      <c r="E15" s="20"/>
      <c r="F15" s="24">
        <f t="shared" si="2"/>
        <v>0</v>
      </c>
      <c r="G15" s="24">
        <f t="shared" si="1"/>
        <v>0</v>
      </c>
      <c r="H15" s="21" t="s">
        <v>33</v>
      </c>
      <c r="I15" s="33"/>
    </row>
    <row r="16" spans="1:9" ht="15" x14ac:dyDescent="0.2">
      <c r="A16" s="39" t="s">
        <v>36</v>
      </c>
      <c r="B16" s="36" t="s">
        <v>7</v>
      </c>
      <c r="C16" s="36" t="s">
        <v>37</v>
      </c>
      <c r="D16" s="22">
        <v>49</v>
      </c>
      <c r="E16" s="20"/>
      <c r="F16" s="24">
        <f t="shared" si="2"/>
        <v>0</v>
      </c>
      <c r="G16" s="24">
        <f t="shared" si="1"/>
        <v>0</v>
      </c>
      <c r="H16" s="21" t="s">
        <v>33</v>
      </c>
      <c r="I16" s="33"/>
    </row>
    <row r="17" spans="1:9" ht="15" x14ac:dyDescent="0.2">
      <c r="A17" s="39" t="s">
        <v>38</v>
      </c>
      <c r="B17" s="36">
        <v>1026725</v>
      </c>
      <c r="C17" s="36" t="s">
        <v>39</v>
      </c>
      <c r="D17" s="22">
        <v>241.7</v>
      </c>
      <c r="E17" s="20"/>
      <c r="F17" s="24">
        <f t="shared" si="2"/>
        <v>0</v>
      </c>
      <c r="G17" s="24">
        <f t="shared" si="1"/>
        <v>0</v>
      </c>
      <c r="H17" s="21" t="s">
        <v>40</v>
      </c>
      <c r="I17" s="33"/>
    </row>
    <row r="18" spans="1:9" ht="15" x14ac:dyDescent="0.2">
      <c r="A18" s="18" t="s">
        <v>0</v>
      </c>
      <c r="B18" s="18" t="s">
        <v>1</v>
      </c>
      <c r="C18" s="18" t="s">
        <v>2</v>
      </c>
      <c r="D18" s="18" t="s">
        <v>3</v>
      </c>
      <c r="E18" s="19" t="s">
        <v>163</v>
      </c>
      <c r="F18" s="19" t="s">
        <v>164</v>
      </c>
      <c r="G18" s="19" t="s">
        <v>4</v>
      </c>
      <c r="H18" s="19" t="s">
        <v>5</v>
      </c>
      <c r="I18" s="32" t="s">
        <v>186</v>
      </c>
    </row>
    <row r="19" spans="1:9" ht="15" x14ac:dyDescent="0.2">
      <c r="A19" s="107" t="s">
        <v>41</v>
      </c>
      <c r="B19" s="80" t="s">
        <v>42</v>
      </c>
      <c r="C19" s="36" t="s">
        <v>42</v>
      </c>
      <c r="D19" s="22">
        <v>6</v>
      </c>
      <c r="E19" s="20">
        <v>1</v>
      </c>
      <c r="F19" s="24">
        <f>SUM(D19*E19)</f>
        <v>6</v>
      </c>
      <c r="G19" s="24">
        <f t="shared" ref="G19:G90" si="3">SUM(F19*1.12)</f>
        <v>6.7200000000000006</v>
      </c>
      <c r="H19" s="21" t="s">
        <v>9</v>
      </c>
      <c r="I19" s="33"/>
    </row>
    <row r="20" spans="1:9" ht="15" x14ac:dyDescent="0.2">
      <c r="A20" s="39" t="s">
        <v>43</v>
      </c>
      <c r="B20" s="80" t="s">
        <v>42</v>
      </c>
      <c r="C20" s="36" t="s">
        <v>42</v>
      </c>
      <c r="D20" s="22">
        <v>29</v>
      </c>
      <c r="E20" s="20">
        <v>1</v>
      </c>
      <c r="F20" s="24">
        <f>SUM(D20*E20)</f>
        <v>29</v>
      </c>
      <c r="G20" s="24">
        <f t="shared" si="3"/>
        <v>32.480000000000004</v>
      </c>
      <c r="H20" s="21" t="s">
        <v>33</v>
      </c>
      <c r="I20" s="33"/>
    </row>
    <row r="21" spans="1:9" ht="15" x14ac:dyDescent="0.2">
      <c r="A21" s="18" t="s">
        <v>0</v>
      </c>
      <c r="B21" s="18" t="s">
        <v>1</v>
      </c>
      <c r="C21" s="18" t="s">
        <v>2</v>
      </c>
      <c r="D21" s="18" t="s">
        <v>3</v>
      </c>
      <c r="E21" s="19" t="s">
        <v>163</v>
      </c>
      <c r="F21" s="19" t="s">
        <v>164</v>
      </c>
      <c r="G21" s="19" t="s">
        <v>4</v>
      </c>
      <c r="H21" s="19" t="s">
        <v>5</v>
      </c>
      <c r="I21" s="32" t="s">
        <v>186</v>
      </c>
    </row>
    <row r="22" spans="1:9" ht="15" x14ac:dyDescent="0.2">
      <c r="A22" s="107" t="s">
        <v>44</v>
      </c>
      <c r="B22" s="79" t="s">
        <v>45</v>
      </c>
      <c r="C22" s="80" t="s">
        <v>197</v>
      </c>
      <c r="D22" s="22">
        <v>29.95</v>
      </c>
      <c r="E22" s="20">
        <v>1</v>
      </c>
      <c r="F22" s="24">
        <f t="shared" ref="F22:F42" si="4">SUM(D22*E22)</f>
        <v>29.95</v>
      </c>
      <c r="G22" s="24">
        <f t="shared" si="3"/>
        <v>33.544000000000004</v>
      </c>
      <c r="H22" s="21" t="s">
        <v>40</v>
      </c>
      <c r="I22" s="33"/>
    </row>
    <row r="23" spans="1:9" ht="15" x14ac:dyDescent="0.2">
      <c r="A23" s="36" t="s">
        <v>46</v>
      </c>
      <c r="B23" s="83" t="s">
        <v>47</v>
      </c>
      <c r="C23" s="76" t="s">
        <v>193</v>
      </c>
      <c r="D23" s="22">
        <v>116.95</v>
      </c>
      <c r="E23" s="20"/>
      <c r="F23" s="24">
        <f>SUM(D23*E23)</f>
        <v>0</v>
      </c>
      <c r="G23" s="24">
        <f>SUM(F23*1.12)</f>
        <v>0</v>
      </c>
      <c r="H23" s="21" t="s">
        <v>40</v>
      </c>
      <c r="I23" s="33"/>
    </row>
    <row r="24" spans="1:9" ht="15" x14ac:dyDescent="0.2">
      <c r="A24" s="36" t="s">
        <v>48</v>
      </c>
      <c r="B24" s="84" t="s">
        <v>49</v>
      </c>
      <c r="C24" s="76" t="s">
        <v>192</v>
      </c>
      <c r="D24" s="22">
        <v>393.54</v>
      </c>
      <c r="E24" s="20">
        <v>1</v>
      </c>
      <c r="F24" s="24">
        <f t="shared" si="4"/>
        <v>393.54</v>
      </c>
      <c r="G24" s="24">
        <f t="shared" si="3"/>
        <v>440.76480000000004</v>
      </c>
      <c r="H24" s="21" t="s">
        <v>40</v>
      </c>
      <c r="I24" s="33"/>
    </row>
    <row r="25" spans="1:9" ht="15" x14ac:dyDescent="0.2">
      <c r="A25" s="36" t="s">
        <v>50</v>
      </c>
      <c r="B25" s="80" t="s">
        <v>51</v>
      </c>
      <c r="C25" s="76" t="s">
        <v>191</v>
      </c>
      <c r="D25" s="22">
        <v>161.31</v>
      </c>
      <c r="E25" s="20"/>
      <c r="F25" s="24">
        <f t="shared" si="4"/>
        <v>0</v>
      </c>
      <c r="G25" s="24">
        <f t="shared" si="3"/>
        <v>0</v>
      </c>
      <c r="H25" s="21" t="s">
        <v>40</v>
      </c>
      <c r="I25" s="33"/>
    </row>
    <row r="26" spans="1:9" ht="15" x14ac:dyDescent="0.2">
      <c r="A26" s="36" t="s">
        <v>52</v>
      </c>
      <c r="B26" s="36" t="s">
        <v>53</v>
      </c>
      <c r="C26" s="36"/>
      <c r="D26" s="22">
        <v>309.95</v>
      </c>
      <c r="E26" s="20"/>
      <c r="F26" s="24">
        <f t="shared" si="4"/>
        <v>0</v>
      </c>
      <c r="G26" s="24">
        <f t="shared" si="3"/>
        <v>0</v>
      </c>
      <c r="H26" s="21" t="s">
        <v>40</v>
      </c>
      <c r="I26" s="33"/>
    </row>
    <row r="27" spans="1:9" ht="15" x14ac:dyDescent="0.2">
      <c r="A27" s="36" t="s">
        <v>54</v>
      </c>
      <c r="B27" s="36" t="s">
        <v>55</v>
      </c>
      <c r="C27" s="36"/>
      <c r="D27" s="22">
        <v>35.31</v>
      </c>
      <c r="E27" s="20"/>
      <c r="F27" s="24">
        <f t="shared" si="4"/>
        <v>0</v>
      </c>
      <c r="G27" s="24">
        <f t="shared" si="3"/>
        <v>0</v>
      </c>
      <c r="H27" s="21" t="s">
        <v>40</v>
      </c>
      <c r="I27" s="33"/>
    </row>
    <row r="28" spans="1:9" ht="15" x14ac:dyDescent="0.2">
      <c r="A28" s="36" t="s">
        <v>56</v>
      </c>
      <c r="B28" s="36" t="s">
        <v>57</v>
      </c>
      <c r="C28" s="36"/>
      <c r="D28" s="22">
        <v>15.12</v>
      </c>
      <c r="E28" s="20"/>
      <c r="F28" s="24">
        <f t="shared" si="4"/>
        <v>0</v>
      </c>
      <c r="G28" s="24">
        <f t="shared" si="3"/>
        <v>0</v>
      </c>
      <c r="H28" s="21" t="s">
        <v>40</v>
      </c>
      <c r="I28" s="33"/>
    </row>
    <row r="29" spans="1:9" ht="15" x14ac:dyDescent="0.2">
      <c r="A29" s="36" t="s">
        <v>58</v>
      </c>
      <c r="B29" s="40" t="s">
        <v>59</v>
      </c>
      <c r="C29" s="36"/>
      <c r="D29" s="22">
        <v>121</v>
      </c>
      <c r="E29" s="20"/>
      <c r="F29" s="24">
        <f t="shared" si="4"/>
        <v>0</v>
      </c>
      <c r="G29" s="24">
        <f t="shared" si="3"/>
        <v>0</v>
      </c>
      <c r="H29" s="21" t="s">
        <v>40</v>
      </c>
      <c r="I29" s="33"/>
    </row>
    <row r="30" spans="1:9" ht="15" x14ac:dyDescent="0.2">
      <c r="A30" s="36" t="s">
        <v>60</v>
      </c>
      <c r="B30" s="36" t="s">
        <v>61</v>
      </c>
      <c r="C30" s="36"/>
      <c r="D30" s="22">
        <v>19.82</v>
      </c>
      <c r="E30" s="20"/>
      <c r="F30" s="24">
        <f t="shared" si="4"/>
        <v>0</v>
      </c>
      <c r="G30" s="24">
        <f t="shared" si="3"/>
        <v>0</v>
      </c>
      <c r="H30" s="21" t="s">
        <v>40</v>
      </c>
      <c r="I30" s="33"/>
    </row>
    <row r="31" spans="1:9" ht="15" x14ac:dyDescent="0.2">
      <c r="A31" s="36" t="s">
        <v>62</v>
      </c>
      <c r="B31" s="36" t="s">
        <v>63</v>
      </c>
      <c r="C31" s="36"/>
      <c r="D31" s="22">
        <v>65.48</v>
      </c>
      <c r="E31" s="20"/>
      <c r="F31" s="24">
        <f t="shared" si="4"/>
        <v>0</v>
      </c>
      <c r="G31" s="24">
        <f t="shared" si="3"/>
        <v>0</v>
      </c>
      <c r="H31" s="21" t="s">
        <v>40</v>
      </c>
      <c r="I31" s="33"/>
    </row>
    <row r="32" spans="1:9" ht="15" x14ac:dyDescent="0.2">
      <c r="A32" s="36" t="s">
        <v>64</v>
      </c>
      <c r="B32" s="36" t="s">
        <v>65</v>
      </c>
      <c r="C32" s="36"/>
      <c r="D32" s="22">
        <v>77.55</v>
      </c>
      <c r="E32" s="20"/>
      <c r="F32" s="24">
        <f>SUM(D32*E32)</f>
        <v>0</v>
      </c>
      <c r="G32" s="24">
        <f>SUM(F32*1.12)</f>
        <v>0</v>
      </c>
      <c r="H32" s="21" t="s">
        <v>40</v>
      </c>
      <c r="I32" s="33"/>
    </row>
    <row r="33" spans="1:9" ht="15" x14ac:dyDescent="0.2">
      <c r="A33" s="79" t="s">
        <v>66</v>
      </c>
      <c r="B33" s="79" t="s">
        <v>67</v>
      </c>
      <c r="C33" s="36"/>
      <c r="D33" s="22">
        <v>29.9</v>
      </c>
      <c r="F33" s="24">
        <f>SUM(D33*E33)</f>
        <v>0</v>
      </c>
      <c r="G33" s="24">
        <f t="shared" si="3"/>
        <v>0</v>
      </c>
      <c r="H33" s="21" t="s">
        <v>9</v>
      </c>
      <c r="I33" s="33"/>
    </row>
    <row r="34" spans="1:9" ht="15" x14ac:dyDescent="0.2">
      <c r="A34" s="36" t="s">
        <v>68</v>
      </c>
      <c r="B34" s="36" t="s">
        <v>69</v>
      </c>
      <c r="C34" s="36"/>
      <c r="D34" s="22">
        <v>59</v>
      </c>
      <c r="E34" s="20"/>
      <c r="F34" s="24">
        <f t="shared" si="4"/>
        <v>0</v>
      </c>
      <c r="G34" s="24">
        <f t="shared" si="3"/>
        <v>0</v>
      </c>
      <c r="H34" s="21" t="s">
        <v>9</v>
      </c>
      <c r="I34" s="33"/>
    </row>
    <row r="35" spans="1:9" ht="15" x14ac:dyDescent="0.2">
      <c r="A35" s="117" t="s">
        <v>70</v>
      </c>
      <c r="B35" s="117" t="s">
        <v>71</v>
      </c>
      <c r="C35" s="36"/>
      <c r="D35" s="22">
        <v>121.41</v>
      </c>
      <c r="E35" s="20">
        <v>1</v>
      </c>
      <c r="F35" s="24">
        <f t="shared" si="4"/>
        <v>121.41</v>
      </c>
      <c r="G35" s="24">
        <f>SUM(F35*1.12)</f>
        <v>135.97920000000002</v>
      </c>
      <c r="H35" s="21" t="s">
        <v>40</v>
      </c>
      <c r="I35" s="33"/>
    </row>
    <row r="36" spans="1:9" ht="15" x14ac:dyDescent="0.2">
      <c r="A36" s="36" t="s">
        <v>72</v>
      </c>
      <c r="B36" s="36" t="s">
        <v>73</v>
      </c>
      <c r="C36" s="36"/>
      <c r="D36" s="22">
        <v>54.9</v>
      </c>
      <c r="E36" s="20"/>
      <c r="F36" s="24">
        <f t="shared" si="4"/>
        <v>0</v>
      </c>
      <c r="G36" s="24">
        <f t="shared" si="3"/>
        <v>0</v>
      </c>
      <c r="H36" s="21" t="s">
        <v>40</v>
      </c>
      <c r="I36" s="33"/>
    </row>
    <row r="37" spans="1:9" ht="15" x14ac:dyDescent="0.2">
      <c r="A37" s="36" t="s">
        <v>74</v>
      </c>
      <c r="B37" s="36" t="s">
        <v>75</v>
      </c>
      <c r="C37" s="36"/>
      <c r="D37" s="22">
        <v>54.9</v>
      </c>
      <c r="E37" s="20"/>
      <c r="F37" s="24">
        <f t="shared" si="4"/>
        <v>0</v>
      </c>
      <c r="G37" s="24">
        <f t="shared" si="3"/>
        <v>0</v>
      </c>
      <c r="H37" s="21" t="s">
        <v>40</v>
      </c>
      <c r="I37" s="33"/>
    </row>
    <row r="38" spans="1:9" ht="15" x14ac:dyDescent="0.2">
      <c r="A38" s="36" t="s">
        <v>76</v>
      </c>
      <c r="B38" s="36" t="s">
        <v>77</v>
      </c>
      <c r="C38" s="36"/>
      <c r="D38" s="22">
        <v>9.89</v>
      </c>
      <c r="E38" s="20"/>
      <c r="F38" s="24">
        <f t="shared" si="4"/>
        <v>0</v>
      </c>
      <c r="G38" s="24">
        <f t="shared" si="3"/>
        <v>0</v>
      </c>
      <c r="H38" s="21" t="s">
        <v>40</v>
      </c>
      <c r="I38" s="33"/>
    </row>
    <row r="39" spans="1:9" ht="15" x14ac:dyDescent="0.2">
      <c r="A39" s="36" t="s">
        <v>78</v>
      </c>
      <c r="B39" s="36" t="s">
        <v>79</v>
      </c>
      <c r="C39" s="36"/>
      <c r="D39" s="22">
        <v>113.74</v>
      </c>
      <c r="E39" s="20"/>
      <c r="F39" s="24">
        <f t="shared" si="4"/>
        <v>0</v>
      </c>
      <c r="G39" s="24">
        <f t="shared" si="3"/>
        <v>0</v>
      </c>
      <c r="H39" s="21" t="s">
        <v>40</v>
      </c>
      <c r="I39" s="33"/>
    </row>
    <row r="40" spans="1:9" ht="15" x14ac:dyDescent="0.2">
      <c r="A40" s="36" t="s">
        <v>80</v>
      </c>
      <c r="B40" s="36" t="s">
        <v>81</v>
      </c>
      <c r="C40" s="36"/>
      <c r="D40" s="22">
        <v>3.29</v>
      </c>
      <c r="E40" s="20"/>
      <c r="F40" s="24">
        <f t="shared" si="4"/>
        <v>0</v>
      </c>
      <c r="G40" s="24">
        <f t="shared" si="3"/>
        <v>0</v>
      </c>
      <c r="H40" s="21" t="s">
        <v>40</v>
      </c>
      <c r="I40" s="33"/>
    </row>
    <row r="41" spans="1:9" ht="15" x14ac:dyDescent="0.2">
      <c r="A41" s="97" t="s">
        <v>228</v>
      </c>
      <c r="B41" s="97">
        <v>236116</v>
      </c>
      <c r="C41" s="97" t="s">
        <v>229</v>
      </c>
      <c r="D41" s="22">
        <v>230</v>
      </c>
      <c r="E41" s="20">
        <v>1</v>
      </c>
      <c r="F41" s="24">
        <f t="shared" si="4"/>
        <v>230</v>
      </c>
      <c r="G41" s="24">
        <f t="shared" si="3"/>
        <v>257.60000000000002</v>
      </c>
      <c r="H41" s="21"/>
      <c r="I41" s="33"/>
    </row>
    <row r="42" spans="1:9" ht="15" x14ac:dyDescent="0.2">
      <c r="A42" s="97" t="s">
        <v>231</v>
      </c>
      <c r="B42" s="36">
        <v>486805</v>
      </c>
      <c r="C42" s="97" t="s">
        <v>230</v>
      </c>
      <c r="D42" s="22">
        <v>256</v>
      </c>
      <c r="E42" s="20">
        <v>1</v>
      </c>
      <c r="F42" s="24">
        <f t="shared" si="4"/>
        <v>256</v>
      </c>
      <c r="G42" s="24">
        <f t="shared" si="3"/>
        <v>286.72000000000003</v>
      </c>
      <c r="H42" s="21"/>
      <c r="I42" s="33"/>
    </row>
    <row r="43" spans="1:9" ht="15" x14ac:dyDescent="0.2">
      <c r="A43" s="18" t="s">
        <v>0</v>
      </c>
      <c r="B43" s="18" t="s">
        <v>1</v>
      </c>
      <c r="C43" s="18" t="s">
        <v>2</v>
      </c>
      <c r="D43" s="18" t="s">
        <v>3</v>
      </c>
      <c r="E43" s="19" t="s">
        <v>163</v>
      </c>
      <c r="F43" s="19" t="s">
        <v>164</v>
      </c>
      <c r="G43" s="19" t="s">
        <v>4</v>
      </c>
      <c r="H43" s="19" t="s">
        <v>5</v>
      </c>
      <c r="I43" s="32" t="s">
        <v>186</v>
      </c>
    </row>
    <row r="44" spans="1:9" ht="15" x14ac:dyDescent="0.2">
      <c r="A44" s="36" t="s">
        <v>82</v>
      </c>
      <c r="B44" s="36" t="s">
        <v>83</v>
      </c>
      <c r="C44" s="36"/>
      <c r="D44" s="22">
        <v>730</v>
      </c>
      <c r="E44" s="20"/>
      <c r="F44" s="24">
        <f>SUM(D44*E44)</f>
        <v>0</v>
      </c>
      <c r="G44" s="24">
        <f t="shared" si="3"/>
        <v>0</v>
      </c>
      <c r="H44" s="21" t="s">
        <v>40</v>
      </c>
      <c r="I44" s="33"/>
    </row>
    <row r="45" spans="1:9" ht="15" x14ac:dyDescent="0.2">
      <c r="A45" s="18" t="s">
        <v>0</v>
      </c>
      <c r="B45" s="18" t="s">
        <v>1</v>
      </c>
      <c r="C45" s="18" t="s">
        <v>2</v>
      </c>
      <c r="D45" s="18" t="s">
        <v>3</v>
      </c>
      <c r="E45" s="19" t="s">
        <v>163</v>
      </c>
      <c r="F45" s="19" t="s">
        <v>164</v>
      </c>
      <c r="G45" s="19" t="s">
        <v>4</v>
      </c>
      <c r="H45" s="19" t="s">
        <v>5</v>
      </c>
      <c r="I45" s="32" t="s">
        <v>186</v>
      </c>
    </row>
    <row r="46" spans="1:9" ht="15" x14ac:dyDescent="0.2">
      <c r="A46" s="41" t="s">
        <v>84</v>
      </c>
      <c r="B46" s="36" t="s">
        <v>85</v>
      </c>
      <c r="C46" s="23" t="s">
        <v>165</v>
      </c>
      <c r="D46" s="22">
        <v>312.76</v>
      </c>
      <c r="E46" s="20"/>
      <c r="F46" s="24">
        <f t="shared" ref="F46:F57" si="5">SUM(D46*E46)</f>
        <v>0</v>
      </c>
      <c r="G46" s="24">
        <f t="shared" si="3"/>
        <v>0</v>
      </c>
      <c r="H46" s="21" t="s">
        <v>40</v>
      </c>
      <c r="I46" s="33" t="s">
        <v>86</v>
      </c>
    </row>
    <row r="47" spans="1:9" ht="15" x14ac:dyDescent="0.2">
      <c r="A47" s="36" t="s">
        <v>87</v>
      </c>
      <c r="B47" s="36" t="s">
        <v>88</v>
      </c>
      <c r="C47" s="23" t="s">
        <v>165</v>
      </c>
      <c r="D47" s="22">
        <v>100.52</v>
      </c>
      <c r="E47" s="20"/>
      <c r="F47" s="24">
        <f t="shared" si="5"/>
        <v>0</v>
      </c>
      <c r="G47" s="24">
        <f t="shared" si="3"/>
        <v>0</v>
      </c>
      <c r="H47" s="21" t="s">
        <v>40</v>
      </c>
      <c r="I47" s="33" t="s">
        <v>89</v>
      </c>
    </row>
    <row r="48" spans="1:9" ht="15" x14ac:dyDescent="0.2">
      <c r="A48" s="36" t="s">
        <v>90</v>
      </c>
      <c r="B48" s="36" t="s">
        <v>91</v>
      </c>
      <c r="C48" s="23" t="s">
        <v>165</v>
      </c>
      <c r="D48" s="22">
        <v>98.73</v>
      </c>
      <c r="E48" s="20"/>
      <c r="F48" s="24">
        <f t="shared" si="5"/>
        <v>0</v>
      </c>
      <c r="G48" s="24">
        <f t="shared" si="3"/>
        <v>0</v>
      </c>
      <c r="H48" s="21" t="s">
        <v>40</v>
      </c>
      <c r="I48" s="33" t="s">
        <v>89</v>
      </c>
    </row>
    <row r="49" spans="1:11" ht="15" x14ac:dyDescent="0.2">
      <c r="A49" s="36" t="s">
        <v>92</v>
      </c>
      <c r="B49" s="36" t="s">
        <v>93</v>
      </c>
      <c r="C49" s="23" t="s">
        <v>165</v>
      </c>
      <c r="D49" s="22">
        <v>67.099999999999994</v>
      </c>
      <c r="E49" s="20"/>
      <c r="F49" s="24">
        <f t="shared" si="5"/>
        <v>0</v>
      </c>
      <c r="G49" s="24">
        <f t="shared" si="3"/>
        <v>0</v>
      </c>
      <c r="H49" s="21" t="s">
        <v>40</v>
      </c>
      <c r="I49" s="33" t="s">
        <v>89</v>
      </c>
    </row>
    <row r="50" spans="1:11" ht="15" x14ac:dyDescent="0.2">
      <c r="A50" s="36" t="s">
        <v>94</v>
      </c>
      <c r="B50" s="36" t="s">
        <v>95</v>
      </c>
      <c r="C50" s="23" t="s">
        <v>165</v>
      </c>
      <c r="D50" s="22">
        <v>29.3</v>
      </c>
      <c r="E50" s="20"/>
      <c r="F50" s="24">
        <f t="shared" si="5"/>
        <v>0</v>
      </c>
      <c r="G50" s="24">
        <f t="shared" si="3"/>
        <v>0</v>
      </c>
      <c r="H50" s="21" t="s">
        <v>40</v>
      </c>
      <c r="I50" s="33" t="s">
        <v>96</v>
      </c>
    </row>
    <row r="51" spans="1:11" ht="15" x14ac:dyDescent="0.2">
      <c r="A51" s="36" t="s">
        <v>97</v>
      </c>
      <c r="B51" s="36" t="s">
        <v>98</v>
      </c>
      <c r="C51" s="23" t="s">
        <v>165</v>
      </c>
      <c r="D51" s="22">
        <v>75.37</v>
      </c>
      <c r="E51" s="20"/>
      <c r="F51" s="24">
        <f t="shared" si="5"/>
        <v>0</v>
      </c>
      <c r="G51" s="24">
        <f t="shared" si="3"/>
        <v>0</v>
      </c>
      <c r="H51" s="21" t="s">
        <v>40</v>
      </c>
      <c r="I51" s="33" t="s">
        <v>99</v>
      </c>
    </row>
    <row r="52" spans="1:11" ht="15" x14ac:dyDescent="0.2">
      <c r="A52" s="36" t="s">
        <v>100</v>
      </c>
      <c r="B52" s="36" t="s">
        <v>101</v>
      </c>
      <c r="C52" s="23" t="s">
        <v>165</v>
      </c>
      <c r="D52" s="22">
        <v>3953</v>
      </c>
      <c r="E52" s="20"/>
      <c r="F52" s="24">
        <f t="shared" si="5"/>
        <v>0</v>
      </c>
      <c r="G52" s="24">
        <f t="shared" si="3"/>
        <v>0</v>
      </c>
      <c r="H52" s="21" t="s">
        <v>40</v>
      </c>
      <c r="I52" s="33" t="s">
        <v>99</v>
      </c>
    </row>
    <row r="53" spans="1:11" ht="15" x14ac:dyDescent="0.2">
      <c r="A53" s="36" t="s">
        <v>102</v>
      </c>
      <c r="B53" s="36" t="s">
        <v>103</v>
      </c>
      <c r="C53" s="23" t="s">
        <v>165</v>
      </c>
      <c r="D53" s="22">
        <v>2666.6</v>
      </c>
      <c r="E53" s="20"/>
      <c r="F53" s="24">
        <f t="shared" si="5"/>
        <v>0</v>
      </c>
      <c r="G53" s="24">
        <f t="shared" si="3"/>
        <v>0</v>
      </c>
      <c r="H53" s="26" t="s">
        <v>40</v>
      </c>
      <c r="I53" s="33" t="s">
        <v>99</v>
      </c>
    </row>
    <row r="54" spans="1:11" ht="15" x14ac:dyDescent="0.2">
      <c r="A54" s="36" t="s">
        <v>104</v>
      </c>
      <c r="B54" s="36" t="s">
        <v>105</v>
      </c>
      <c r="C54" s="23" t="s">
        <v>165</v>
      </c>
      <c r="D54" s="22">
        <v>287.49</v>
      </c>
      <c r="E54" s="20"/>
      <c r="F54" s="24">
        <f t="shared" si="5"/>
        <v>0</v>
      </c>
      <c r="G54" s="24">
        <f t="shared" si="3"/>
        <v>0</v>
      </c>
      <c r="H54" s="26" t="s">
        <v>40</v>
      </c>
      <c r="I54" s="33" t="s">
        <v>99</v>
      </c>
    </row>
    <row r="55" spans="1:11" ht="15" x14ac:dyDescent="0.2">
      <c r="A55" s="36" t="s">
        <v>106</v>
      </c>
      <c r="B55" s="36" t="s">
        <v>107</v>
      </c>
      <c r="C55" s="23" t="s">
        <v>165</v>
      </c>
      <c r="D55" s="22">
        <v>32.9</v>
      </c>
      <c r="E55" s="20"/>
      <c r="F55" s="24">
        <f t="shared" si="5"/>
        <v>0</v>
      </c>
      <c r="G55" s="24">
        <f t="shared" si="3"/>
        <v>0</v>
      </c>
      <c r="H55" s="26" t="s">
        <v>40</v>
      </c>
      <c r="I55" s="33" t="s">
        <v>99</v>
      </c>
    </row>
    <row r="56" spans="1:11" ht="15" x14ac:dyDescent="0.2">
      <c r="A56" s="36" t="s">
        <v>108</v>
      </c>
      <c r="B56" s="36" t="s">
        <v>109</v>
      </c>
      <c r="C56" s="23" t="s">
        <v>165</v>
      </c>
      <c r="D56" s="22">
        <v>161.29</v>
      </c>
      <c r="E56" s="20"/>
      <c r="F56" s="24">
        <f t="shared" si="5"/>
        <v>0</v>
      </c>
      <c r="G56" s="24">
        <f t="shared" si="3"/>
        <v>0</v>
      </c>
      <c r="H56" s="26" t="s">
        <v>40</v>
      </c>
      <c r="I56" s="33" t="s">
        <v>99</v>
      </c>
    </row>
    <row r="57" spans="1:11" ht="15" x14ac:dyDescent="0.2">
      <c r="A57" s="36" t="s">
        <v>110</v>
      </c>
      <c r="B57" s="36">
        <v>2778057</v>
      </c>
      <c r="C57" s="23" t="s">
        <v>165</v>
      </c>
      <c r="D57" s="22">
        <v>1218</v>
      </c>
      <c r="E57" s="20"/>
      <c r="F57" s="24">
        <f t="shared" si="5"/>
        <v>0</v>
      </c>
      <c r="G57" s="24">
        <f t="shared" si="3"/>
        <v>0</v>
      </c>
      <c r="H57" s="26" t="s">
        <v>40</v>
      </c>
      <c r="I57" s="33" t="s">
        <v>111</v>
      </c>
    </row>
    <row r="58" spans="1:11" ht="15" x14ac:dyDescent="0.2">
      <c r="A58" s="18" t="s">
        <v>0</v>
      </c>
      <c r="B58" s="18" t="s">
        <v>1</v>
      </c>
      <c r="C58" s="18" t="s">
        <v>2</v>
      </c>
      <c r="D58" s="18" t="s">
        <v>3</v>
      </c>
      <c r="E58" s="19" t="s">
        <v>163</v>
      </c>
      <c r="F58" s="19" t="s">
        <v>164</v>
      </c>
      <c r="G58" s="19" t="s">
        <v>4</v>
      </c>
      <c r="H58" s="19" t="s">
        <v>5</v>
      </c>
      <c r="I58" s="32" t="s">
        <v>186</v>
      </c>
      <c r="K58" s="52"/>
    </row>
    <row r="59" spans="1:11" ht="15" x14ac:dyDescent="0.2">
      <c r="A59" s="102" t="s">
        <v>112</v>
      </c>
      <c r="B59" s="102" t="s">
        <v>113</v>
      </c>
      <c r="C59" s="36"/>
      <c r="D59" s="22">
        <v>111</v>
      </c>
      <c r="E59" s="20">
        <v>1</v>
      </c>
      <c r="F59" s="24">
        <f t="shared" ref="F59:F65" si="6">SUM(D59*E59)</f>
        <v>111</v>
      </c>
      <c r="G59" s="24">
        <f t="shared" si="3"/>
        <v>124.32000000000001</v>
      </c>
      <c r="H59" s="21" t="s">
        <v>40</v>
      </c>
      <c r="I59" s="33" t="s">
        <v>99</v>
      </c>
    </row>
    <row r="60" spans="1:11" ht="15" x14ac:dyDescent="0.2">
      <c r="A60" s="97" t="s">
        <v>112</v>
      </c>
      <c r="B60" s="102" t="s">
        <v>114</v>
      </c>
      <c r="C60" s="36"/>
      <c r="D60" s="22">
        <v>121</v>
      </c>
      <c r="E60" s="20">
        <v>1</v>
      </c>
      <c r="F60" s="24">
        <f t="shared" si="6"/>
        <v>121</v>
      </c>
      <c r="G60" s="24">
        <f t="shared" si="3"/>
        <v>135.52000000000001</v>
      </c>
      <c r="H60" s="21" t="s">
        <v>40</v>
      </c>
      <c r="I60" s="33" t="s">
        <v>99</v>
      </c>
    </row>
    <row r="61" spans="1:11" ht="15" x14ac:dyDescent="0.2">
      <c r="A61" s="97" t="s">
        <v>115</v>
      </c>
      <c r="B61" s="82" t="s">
        <v>116</v>
      </c>
      <c r="C61" s="36"/>
      <c r="D61" s="22">
        <v>156.97</v>
      </c>
      <c r="E61" s="20">
        <v>1</v>
      </c>
      <c r="F61" s="24">
        <f t="shared" si="6"/>
        <v>156.97</v>
      </c>
      <c r="G61" s="24">
        <f t="shared" si="3"/>
        <v>175.80640000000002</v>
      </c>
      <c r="H61" s="21" t="s">
        <v>40</v>
      </c>
      <c r="I61" s="33" t="s">
        <v>99</v>
      </c>
    </row>
    <row r="62" spans="1:11" ht="15" x14ac:dyDescent="0.2">
      <c r="A62" s="97" t="s">
        <v>117</v>
      </c>
      <c r="B62" s="96" t="s">
        <v>118</v>
      </c>
      <c r="C62" s="46" t="s">
        <v>199</v>
      </c>
      <c r="D62" s="22">
        <v>200</v>
      </c>
      <c r="E62" s="20">
        <v>1</v>
      </c>
      <c r="F62" s="24">
        <f t="shared" si="6"/>
        <v>200</v>
      </c>
      <c r="G62" s="24">
        <f t="shared" si="3"/>
        <v>224.00000000000003</v>
      </c>
      <c r="H62" s="21" t="s">
        <v>40</v>
      </c>
      <c r="I62" s="33" t="s">
        <v>89</v>
      </c>
    </row>
    <row r="63" spans="1:11" ht="15" x14ac:dyDescent="0.2">
      <c r="A63" s="106" t="s">
        <v>120</v>
      </c>
      <c r="B63" s="106" t="s">
        <v>121</v>
      </c>
      <c r="C63" s="82" t="s">
        <v>198</v>
      </c>
      <c r="D63" s="22">
        <v>160</v>
      </c>
      <c r="E63" s="20">
        <v>1</v>
      </c>
      <c r="F63" s="24">
        <f t="shared" si="6"/>
        <v>160</v>
      </c>
      <c r="G63" s="24">
        <f>SUM(F63*1.12)</f>
        <v>179.20000000000002</v>
      </c>
      <c r="H63" s="21" t="s">
        <v>40</v>
      </c>
      <c r="I63" s="33" t="s">
        <v>99</v>
      </c>
    </row>
    <row r="64" spans="1:11" ht="15" x14ac:dyDescent="0.2">
      <c r="A64" s="102" t="s">
        <v>237</v>
      </c>
      <c r="B64" s="92"/>
      <c r="C64" s="102" t="s">
        <v>235</v>
      </c>
      <c r="D64" s="22">
        <v>582</v>
      </c>
      <c r="E64" s="20">
        <v>1</v>
      </c>
      <c r="F64" s="24">
        <f t="shared" si="6"/>
        <v>582</v>
      </c>
      <c r="G64" s="24">
        <f t="shared" ref="G64:G65" si="7">SUM(F64*1.12)</f>
        <v>651.84</v>
      </c>
      <c r="H64" s="103" t="s">
        <v>40</v>
      </c>
      <c r="I64" s="33" t="s">
        <v>99</v>
      </c>
    </row>
    <row r="65" spans="1:9" ht="15" x14ac:dyDescent="0.2">
      <c r="A65" s="102" t="s">
        <v>238</v>
      </c>
      <c r="B65" s="92"/>
      <c r="C65" s="102" t="s">
        <v>236</v>
      </c>
      <c r="D65" s="22">
        <v>694</v>
      </c>
      <c r="E65" s="20">
        <v>1</v>
      </c>
      <c r="F65" s="24">
        <f t="shared" si="6"/>
        <v>694</v>
      </c>
      <c r="G65" s="24">
        <f t="shared" si="7"/>
        <v>777.28000000000009</v>
      </c>
      <c r="H65" s="103" t="s">
        <v>40</v>
      </c>
      <c r="I65" s="33" t="s">
        <v>99</v>
      </c>
    </row>
    <row r="66" spans="1:9" ht="15" x14ac:dyDescent="0.2">
      <c r="A66" s="18" t="s">
        <v>0</v>
      </c>
      <c r="B66" s="18" t="s">
        <v>1</v>
      </c>
      <c r="C66" s="18" t="s">
        <v>2</v>
      </c>
      <c r="D66" s="18" t="s">
        <v>3</v>
      </c>
      <c r="E66" s="19" t="s">
        <v>163</v>
      </c>
      <c r="F66" s="19" t="s">
        <v>164</v>
      </c>
      <c r="G66" s="19" t="s">
        <v>4</v>
      </c>
      <c r="H66" s="19" t="s">
        <v>5</v>
      </c>
      <c r="I66" s="32" t="s">
        <v>186</v>
      </c>
    </row>
    <row r="67" spans="1:9" ht="15" x14ac:dyDescent="0.2">
      <c r="A67" s="36" t="s">
        <v>122</v>
      </c>
      <c r="B67" s="77" t="s">
        <v>123</v>
      </c>
      <c r="C67" s="77" t="s">
        <v>194</v>
      </c>
      <c r="D67" s="22">
        <v>1430.32</v>
      </c>
      <c r="E67" s="20"/>
      <c r="F67" s="24">
        <f>SUM(D67*E67)</f>
        <v>0</v>
      </c>
      <c r="G67" s="24">
        <f t="shared" si="3"/>
        <v>0</v>
      </c>
      <c r="H67" s="21" t="s">
        <v>40</v>
      </c>
      <c r="I67" s="33" t="s">
        <v>99</v>
      </c>
    </row>
    <row r="68" spans="1:9" ht="15" x14ac:dyDescent="0.2">
      <c r="A68" s="36" t="s">
        <v>124</v>
      </c>
      <c r="B68" s="36" t="s">
        <v>125</v>
      </c>
      <c r="C68" s="36"/>
      <c r="D68" s="22">
        <v>1087.5899999999999</v>
      </c>
      <c r="E68" s="20"/>
      <c r="F68" s="24">
        <f>SUM(D68*E68)</f>
        <v>0</v>
      </c>
      <c r="G68" s="24">
        <f t="shared" si="3"/>
        <v>0</v>
      </c>
      <c r="H68" s="21" t="s">
        <v>40</v>
      </c>
      <c r="I68" s="33" t="s">
        <v>89</v>
      </c>
    </row>
    <row r="69" spans="1:9" ht="15" x14ac:dyDescent="0.2">
      <c r="A69" s="36" t="s">
        <v>126</v>
      </c>
      <c r="B69" s="36" t="s">
        <v>127</v>
      </c>
      <c r="C69" s="36"/>
      <c r="D69" s="22">
        <v>632.87</v>
      </c>
      <c r="E69" s="20"/>
      <c r="F69" s="24">
        <f>SUM(D69*E69)</f>
        <v>0</v>
      </c>
      <c r="G69" s="24">
        <f t="shared" si="3"/>
        <v>0</v>
      </c>
      <c r="H69" s="21" t="s">
        <v>40</v>
      </c>
      <c r="I69" s="33" t="s">
        <v>99</v>
      </c>
    </row>
    <row r="70" spans="1:9" ht="15" x14ac:dyDescent="0.2">
      <c r="A70" s="37" t="s">
        <v>128</v>
      </c>
      <c r="B70" s="36" t="s">
        <v>129</v>
      </c>
      <c r="C70" s="36"/>
      <c r="D70" s="22">
        <v>583.41999999999996</v>
      </c>
      <c r="E70" s="20"/>
      <c r="F70" s="24">
        <f>SUM(D70*E70)</f>
        <v>0</v>
      </c>
      <c r="G70" s="24">
        <f t="shared" si="3"/>
        <v>0</v>
      </c>
      <c r="H70" s="21" t="s">
        <v>40</v>
      </c>
      <c r="I70" s="33" t="s">
        <v>99</v>
      </c>
    </row>
    <row r="71" spans="1:9" ht="15" x14ac:dyDescent="0.2">
      <c r="A71" s="36" t="s">
        <v>130</v>
      </c>
      <c r="B71" s="36" t="s">
        <v>131</v>
      </c>
      <c r="C71" s="36"/>
      <c r="D71" s="22">
        <v>97.09</v>
      </c>
      <c r="E71" s="20"/>
      <c r="F71" s="24">
        <f>SUM(D71*E71)</f>
        <v>0</v>
      </c>
      <c r="G71" s="24">
        <f t="shared" si="3"/>
        <v>0</v>
      </c>
      <c r="H71" s="21" t="s">
        <v>40</v>
      </c>
      <c r="I71" s="34" t="s">
        <v>99</v>
      </c>
    </row>
    <row r="72" spans="1:9" ht="15" x14ac:dyDescent="0.2">
      <c r="A72" s="18" t="s">
        <v>0</v>
      </c>
      <c r="B72" s="18" t="s">
        <v>1</v>
      </c>
      <c r="C72" s="18" t="s">
        <v>2</v>
      </c>
      <c r="D72" s="18" t="s">
        <v>3</v>
      </c>
      <c r="E72" s="19" t="s">
        <v>163</v>
      </c>
      <c r="F72" s="19" t="s">
        <v>164</v>
      </c>
      <c r="G72" s="19" t="s">
        <v>4</v>
      </c>
      <c r="H72" s="19" t="s">
        <v>5</v>
      </c>
      <c r="I72" s="32" t="s">
        <v>186</v>
      </c>
    </row>
    <row r="73" spans="1:9" ht="15" x14ac:dyDescent="0.2">
      <c r="A73" s="36" t="s">
        <v>132</v>
      </c>
      <c r="B73" s="36" t="s">
        <v>133</v>
      </c>
      <c r="C73" s="36"/>
      <c r="D73" s="22">
        <v>89.17</v>
      </c>
      <c r="E73" s="20"/>
      <c r="F73" s="24">
        <f t="shared" ref="F73:F82" si="8">SUM(D73*E73)</f>
        <v>0</v>
      </c>
      <c r="G73" s="24">
        <f t="shared" si="3"/>
        <v>0</v>
      </c>
      <c r="H73" s="21" t="s">
        <v>40</v>
      </c>
      <c r="I73" s="33"/>
    </row>
    <row r="74" spans="1:9" ht="15" x14ac:dyDescent="0.2">
      <c r="A74" s="36" t="s">
        <v>134</v>
      </c>
      <c r="B74" s="36" t="s">
        <v>133</v>
      </c>
      <c r="C74" s="36"/>
      <c r="D74" s="22">
        <v>86</v>
      </c>
      <c r="E74" s="20"/>
      <c r="F74" s="24">
        <f t="shared" si="8"/>
        <v>0</v>
      </c>
      <c r="G74" s="24">
        <f t="shared" si="3"/>
        <v>0</v>
      </c>
      <c r="H74" s="21" t="s">
        <v>40</v>
      </c>
      <c r="I74" s="33"/>
    </row>
    <row r="75" spans="1:9" ht="15" x14ac:dyDescent="0.2">
      <c r="A75" s="36" t="s">
        <v>135</v>
      </c>
      <c r="B75" s="36" t="s">
        <v>136</v>
      </c>
      <c r="C75" s="36"/>
      <c r="D75" s="22">
        <v>241.26</v>
      </c>
      <c r="E75" s="20"/>
      <c r="F75" s="24">
        <f t="shared" si="8"/>
        <v>0</v>
      </c>
      <c r="G75" s="24">
        <f t="shared" si="3"/>
        <v>0</v>
      </c>
      <c r="H75" s="21" t="s">
        <v>40</v>
      </c>
      <c r="I75" s="33"/>
    </row>
    <row r="76" spans="1:9" ht="15" x14ac:dyDescent="0.2">
      <c r="A76" s="36" t="s">
        <v>137</v>
      </c>
      <c r="B76" s="36" t="s">
        <v>138</v>
      </c>
      <c r="C76" s="36"/>
      <c r="D76" s="22">
        <v>244.71</v>
      </c>
      <c r="E76" s="20"/>
      <c r="F76" s="24">
        <f t="shared" si="8"/>
        <v>0</v>
      </c>
      <c r="G76" s="24">
        <f t="shared" si="3"/>
        <v>0</v>
      </c>
      <c r="H76" s="21" t="s">
        <v>40</v>
      </c>
      <c r="I76" s="34" t="s">
        <v>187</v>
      </c>
    </row>
    <row r="77" spans="1:9" ht="15" x14ac:dyDescent="0.2">
      <c r="A77" s="36" t="s">
        <v>140</v>
      </c>
      <c r="B77" s="36" t="s">
        <v>141</v>
      </c>
      <c r="C77" s="36"/>
      <c r="D77" s="22">
        <v>11.36</v>
      </c>
      <c r="E77" s="20"/>
      <c r="F77" s="24">
        <f t="shared" si="8"/>
        <v>0</v>
      </c>
      <c r="G77" s="24">
        <f t="shared" si="3"/>
        <v>0</v>
      </c>
      <c r="H77" s="21" t="s">
        <v>40</v>
      </c>
      <c r="I77" s="33"/>
    </row>
    <row r="78" spans="1:9" ht="15" x14ac:dyDescent="0.2">
      <c r="A78" s="36" t="s">
        <v>142</v>
      </c>
      <c r="B78" s="36" t="s">
        <v>143</v>
      </c>
      <c r="C78" s="36"/>
      <c r="D78" s="22">
        <v>13.48</v>
      </c>
      <c r="E78" s="20"/>
      <c r="F78" s="24">
        <f t="shared" si="8"/>
        <v>0</v>
      </c>
      <c r="G78" s="24">
        <f t="shared" si="3"/>
        <v>0</v>
      </c>
      <c r="H78" s="21" t="s">
        <v>40</v>
      </c>
      <c r="I78" s="33"/>
    </row>
    <row r="79" spans="1:9" ht="15" x14ac:dyDescent="0.2">
      <c r="A79" s="36" t="s">
        <v>144</v>
      </c>
      <c r="B79" s="36" t="s">
        <v>145</v>
      </c>
      <c r="C79" s="36"/>
      <c r="D79" s="22">
        <v>34.47</v>
      </c>
      <c r="E79" s="20"/>
      <c r="F79" s="24">
        <f t="shared" si="8"/>
        <v>0</v>
      </c>
      <c r="G79" s="24">
        <f t="shared" si="3"/>
        <v>0</v>
      </c>
      <c r="H79" s="21" t="s">
        <v>40</v>
      </c>
      <c r="I79" s="33"/>
    </row>
    <row r="80" spans="1:9" ht="15" x14ac:dyDescent="0.25">
      <c r="A80" s="97" t="s">
        <v>226</v>
      </c>
      <c r="B80" s="98" t="s">
        <v>232</v>
      </c>
      <c r="C80" s="97" t="s">
        <v>227</v>
      </c>
      <c r="D80" s="22">
        <v>44</v>
      </c>
      <c r="E80" s="20">
        <v>1</v>
      </c>
      <c r="F80" s="24">
        <f t="shared" si="8"/>
        <v>44</v>
      </c>
      <c r="G80" s="24">
        <f t="shared" si="3"/>
        <v>49.28</v>
      </c>
      <c r="H80" s="21"/>
      <c r="I80" s="33"/>
    </row>
    <row r="81" spans="1:9" ht="15" x14ac:dyDescent="0.2">
      <c r="A81" s="18" t="s">
        <v>0</v>
      </c>
      <c r="B81" s="18" t="s">
        <v>1</v>
      </c>
      <c r="C81" s="18" t="s">
        <v>2</v>
      </c>
      <c r="D81" s="18" t="s">
        <v>3</v>
      </c>
      <c r="E81" s="19" t="s">
        <v>163</v>
      </c>
      <c r="F81" s="19" t="s">
        <v>164</v>
      </c>
      <c r="G81" s="19" t="s">
        <v>4</v>
      </c>
      <c r="H81" s="19" t="s">
        <v>5</v>
      </c>
      <c r="I81" s="32" t="s">
        <v>186</v>
      </c>
    </row>
    <row r="82" spans="1:9" ht="15" x14ac:dyDescent="0.2">
      <c r="A82" s="48" t="s">
        <v>189</v>
      </c>
      <c r="B82" s="49"/>
      <c r="C82" s="47" t="s">
        <v>190</v>
      </c>
      <c r="D82" s="22">
        <v>552.6</v>
      </c>
      <c r="E82" s="50"/>
      <c r="F82" s="24">
        <f t="shared" si="8"/>
        <v>0</v>
      </c>
      <c r="G82" s="24">
        <f t="shared" si="3"/>
        <v>0</v>
      </c>
      <c r="H82" s="21" t="s">
        <v>40</v>
      </c>
      <c r="I82" s="51"/>
    </row>
    <row r="83" spans="1:9" ht="15" x14ac:dyDescent="0.2">
      <c r="A83" s="36" t="s">
        <v>146</v>
      </c>
      <c r="B83" s="36" t="s">
        <v>147</v>
      </c>
      <c r="C83" s="47" t="s">
        <v>188</v>
      </c>
      <c r="D83" s="22">
        <v>368.39</v>
      </c>
      <c r="E83" s="20"/>
      <c r="F83" s="24">
        <f t="shared" ref="F83:F88" si="9">SUM(D83*E83)</f>
        <v>0</v>
      </c>
      <c r="G83" s="24">
        <f t="shared" si="3"/>
        <v>0</v>
      </c>
      <c r="H83" s="21" t="s">
        <v>40</v>
      </c>
      <c r="I83" s="33"/>
    </row>
    <row r="84" spans="1:9" ht="15" x14ac:dyDescent="0.2">
      <c r="A84" s="36" t="s">
        <v>148</v>
      </c>
      <c r="B84" s="36" t="s">
        <v>149</v>
      </c>
      <c r="C84" s="47" t="s">
        <v>188</v>
      </c>
      <c r="D84" s="22">
        <v>211.46</v>
      </c>
      <c r="E84" s="20"/>
      <c r="F84" s="24">
        <f t="shared" si="9"/>
        <v>0</v>
      </c>
      <c r="G84" s="24">
        <f t="shared" si="3"/>
        <v>0</v>
      </c>
      <c r="H84" s="21" t="s">
        <v>40</v>
      </c>
      <c r="I84" s="33"/>
    </row>
    <row r="85" spans="1:9" ht="15" x14ac:dyDescent="0.2">
      <c r="A85" s="36" t="s">
        <v>150</v>
      </c>
      <c r="B85" s="36" t="s">
        <v>151</v>
      </c>
      <c r="C85" s="36"/>
      <c r="D85" s="22">
        <v>176.25</v>
      </c>
      <c r="E85" s="20"/>
      <c r="F85" s="24">
        <f t="shared" si="9"/>
        <v>0</v>
      </c>
      <c r="G85" s="24">
        <f t="shared" si="3"/>
        <v>0</v>
      </c>
      <c r="H85" s="21" t="s">
        <v>40</v>
      </c>
      <c r="I85" s="33"/>
    </row>
    <row r="86" spans="1:9" ht="15" x14ac:dyDescent="0.2">
      <c r="A86" s="36" t="s">
        <v>152</v>
      </c>
      <c r="B86" s="36" t="s">
        <v>153</v>
      </c>
      <c r="C86" s="36"/>
      <c r="D86" s="22">
        <v>189</v>
      </c>
      <c r="E86" s="20"/>
      <c r="F86" s="24">
        <f t="shared" si="9"/>
        <v>0</v>
      </c>
      <c r="G86" s="24">
        <f t="shared" si="3"/>
        <v>0</v>
      </c>
      <c r="H86" s="21" t="s">
        <v>40</v>
      </c>
      <c r="I86" s="33"/>
    </row>
    <row r="87" spans="1:9" ht="15" x14ac:dyDescent="0.2">
      <c r="A87" s="36" t="s">
        <v>154</v>
      </c>
      <c r="B87" s="36" t="s">
        <v>155</v>
      </c>
      <c r="C87" s="36"/>
      <c r="D87" s="22">
        <v>92.19</v>
      </c>
      <c r="E87" s="20"/>
      <c r="F87" s="24">
        <f t="shared" si="9"/>
        <v>0</v>
      </c>
      <c r="G87" s="24">
        <f t="shared" si="3"/>
        <v>0</v>
      </c>
      <c r="H87" s="21" t="s">
        <v>40</v>
      </c>
      <c r="I87" s="33"/>
    </row>
    <row r="88" spans="1:9" ht="15" x14ac:dyDescent="0.2">
      <c r="A88" s="36" t="s">
        <v>156</v>
      </c>
      <c r="B88" s="36" t="s">
        <v>157</v>
      </c>
      <c r="C88" s="36"/>
      <c r="D88" s="22">
        <v>119.67</v>
      </c>
      <c r="E88" s="20"/>
      <c r="F88" s="24">
        <f t="shared" si="9"/>
        <v>0</v>
      </c>
      <c r="G88" s="24">
        <f t="shared" si="3"/>
        <v>0</v>
      </c>
      <c r="H88" s="21" t="s">
        <v>40</v>
      </c>
      <c r="I88" s="33"/>
    </row>
    <row r="89" spans="1:9" ht="15" x14ac:dyDescent="0.2">
      <c r="A89" s="18" t="s">
        <v>0</v>
      </c>
      <c r="B89" s="18" t="s">
        <v>1</v>
      </c>
      <c r="C89" s="18" t="s">
        <v>2</v>
      </c>
      <c r="D89" s="18" t="s">
        <v>3</v>
      </c>
      <c r="E89" s="19" t="s">
        <v>163</v>
      </c>
      <c r="F89" s="19" t="s">
        <v>164</v>
      </c>
      <c r="G89" s="19" t="s">
        <v>4</v>
      </c>
      <c r="H89" s="19" t="s">
        <v>5</v>
      </c>
      <c r="I89" s="32" t="s">
        <v>186</v>
      </c>
    </row>
    <row r="90" spans="1:9" ht="15" x14ac:dyDescent="0.2">
      <c r="A90" s="36" t="s">
        <v>158</v>
      </c>
      <c r="B90" s="36"/>
      <c r="C90" s="36" t="s">
        <v>159</v>
      </c>
      <c r="D90" s="22">
        <v>540.16</v>
      </c>
      <c r="E90" s="20"/>
      <c r="F90" s="24">
        <f t="shared" ref="F90:F95" si="10">SUM(D90*E90)</f>
        <v>0</v>
      </c>
      <c r="G90" s="24">
        <f t="shared" si="3"/>
        <v>0</v>
      </c>
      <c r="H90" s="21" t="s">
        <v>40</v>
      </c>
      <c r="I90" s="33"/>
    </row>
    <row r="91" spans="1:9" ht="15" x14ac:dyDescent="0.2">
      <c r="A91" s="36" t="s">
        <v>158</v>
      </c>
      <c r="B91" s="36"/>
      <c r="C91" s="36" t="s">
        <v>160</v>
      </c>
      <c r="D91" s="22">
        <v>2060</v>
      </c>
      <c r="E91" s="20"/>
      <c r="F91" s="24">
        <f t="shared" si="10"/>
        <v>0</v>
      </c>
      <c r="G91" s="24">
        <f t="shared" ref="G91:G95" si="11">SUM(F91*1.12)</f>
        <v>0</v>
      </c>
      <c r="H91" s="21" t="s">
        <v>40</v>
      </c>
      <c r="I91" s="33"/>
    </row>
    <row r="92" spans="1:9" ht="15" x14ac:dyDescent="0.2">
      <c r="A92" s="36" t="s">
        <v>161</v>
      </c>
      <c r="B92" s="36"/>
      <c r="C92" s="36" t="s">
        <v>159</v>
      </c>
      <c r="D92" s="22">
        <v>597</v>
      </c>
      <c r="E92" s="20"/>
      <c r="F92" s="24">
        <f t="shared" si="10"/>
        <v>0</v>
      </c>
      <c r="G92" s="24">
        <f t="shared" si="11"/>
        <v>0</v>
      </c>
      <c r="H92" s="21" t="s">
        <v>40</v>
      </c>
      <c r="I92" s="33"/>
    </row>
    <row r="93" spans="1:9" ht="15" x14ac:dyDescent="0.2">
      <c r="A93" s="36" t="s">
        <v>161</v>
      </c>
      <c r="B93" s="36"/>
      <c r="C93" s="36" t="s">
        <v>160</v>
      </c>
      <c r="D93" s="22">
        <v>2510</v>
      </c>
      <c r="E93" s="20"/>
      <c r="F93" s="24">
        <f t="shared" si="10"/>
        <v>0</v>
      </c>
      <c r="G93" s="24">
        <f t="shared" si="11"/>
        <v>0</v>
      </c>
      <c r="H93" s="21" t="s">
        <v>40</v>
      </c>
      <c r="I93" s="33"/>
    </row>
    <row r="94" spans="1:9" ht="15" x14ac:dyDescent="0.2">
      <c r="A94" s="36" t="s">
        <v>162</v>
      </c>
      <c r="B94" s="36"/>
      <c r="C94" s="36" t="s">
        <v>159</v>
      </c>
      <c r="D94" s="22">
        <v>540.16</v>
      </c>
      <c r="E94" s="20"/>
      <c r="F94" s="24">
        <f t="shared" si="10"/>
        <v>0</v>
      </c>
      <c r="G94" s="24">
        <f t="shared" si="11"/>
        <v>0</v>
      </c>
      <c r="H94" s="21" t="s">
        <v>40</v>
      </c>
      <c r="I94" s="33"/>
    </row>
    <row r="95" spans="1:9" ht="15" x14ac:dyDescent="0.2">
      <c r="A95" s="36" t="s">
        <v>162</v>
      </c>
      <c r="B95" s="36"/>
      <c r="C95" s="36" t="s">
        <v>160</v>
      </c>
      <c r="D95" s="22">
        <v>2940</v>
      </c>
      <c r="E95" s="20"/>
      <c r="F95" s="24">
        <f t="shared" si="10"/>
        <v>0</v>
      </c>
      <c r="G95" s="24">
        <f t="shared" si="11"/>
        <v>0</v>
      </c>
      <c r="H95" s="21" t="s">
        <v>40</v>
      </c>
      <c r="I95" s="33"/>
    </row>
    <row r="96" spans="1:9" ht="15" x14ac:dyDescent="0.2">
      <c r="A96" s="27" t="s">
        <v>175</v>
      </c>
      <c r="B96" s="28"/>
      <c r="C96" s="27" t="s">
        <v>176</v>
      </c>
      <c r="D96" s="27" t="s">
        <v>177</v>
      </c>
      <c r="E96" s="19" t="s">
        <v>163</v>
      </c>
      <c r="F96" s="27" t="s">
        <v>178</v>
      </c>
      <c r="G96" s="19" t="s">
        <v>4</v>
      </c>
      <c r="H96" s="19" t="s">
        <v>5</v>
      </c>
      <c r="I96" s="35"/>
    </row>
    <row r="97" spans="1:9" ht="15" x14ac:dyDescent="0.2">
      <c r="A97" s="42" t="s">
        <v>166</v>
      </c>
      <c r="B97" s="36"/>
      <c r="C97" s="43" t="s">
        <v>171</v>
      </c>
      <c r="D97" s="22">
        <v>1267</v>
      </c>
      <c r="E97" s="20">
        <v>1</v>
      </c>
      <c r="F97" s="24">
        <f>SUM(D97*E97)</f>
        <v>1267</v>
      </c>
      <c r="G97" s="24">
        <f t="shared" ref="G97:G104" si="12">SUM(F97)</f>
        <v>1267</v>
      </c>
      <c r="H97" s="21" t="s">
        <v>40</v>
      </c>
      <c r="I97" s="33"/>
    </row>
    <row r="98" spans="1:9" ht="15" x14ac:dyDescent="0.2">
      <c r="A98" s="42" t="s">
        <v>167</v>
      </c>
      <c r="B98" s="36"/>
      <c r="C98" s="44" t="s">
        <v>168</v>
      </c>
      <c r="D98" s="22">
        <v>650</v>
      </c>
      <c r="E98" s="20">
        <v>1</v>
      </c>
      <c r="F98" s="24">
        <f t="shared" ref="F98:F108" si="13">SUM(D98*E98)</f>
        <v>650</v>
      </c>
      <c r="G98" s="24">
        <f>SUM(F98)</f>
        <v>650</v>
      </c>
      <c r="H98" s="21" t="s">
        <v>40</v>
      </c>
      <c r="I98" s="33"/>
    </row>
    <row r="99" spans="1:9" ht="15" x14ac:dyDescent="0.2">
      <c r="A99" s="91" t="s">
        <v>169</v>
      </c>
      <c r="B99" s="100"/>
      <c r="C99" s="44" t="s">
        <v>170</v>
      </c>
      <c r="D99" s="22">
        <v>11</v>
      </c>
      <c r="E99" s="20">
        <v>1</v>
      </c>
      <c r="F99" s="24">
        <f t="shared" si="13"/>
        <v>11</v>
      </c>
      <c r="G99" s="24">
        <f t="shared" si="12"/>
        <v>11</v>
      </c>
      <c r="H99" s="21" t="s">
        <v>40</v>
      </c>
      <c r="I99" s="33"/>
    </row>
    <row r="100" spans="1:9" ht="15" x14ac:dyDescent="0.2">
      <c r="A100" s="44" t="s">
        <v>172</v>
      </c>
      <c r="B100" s="36"/>
      <c r="C100" s="78" t="s">
        <v>173</v>
      </c>
      <c r="D100" s="22">
        <v>595</v>
      </c>
      <c r="E100" s="20">
        <v>1</v>
      </c>
      <c r="F100" s="24">
        <f t="shared" si="13"/>
        <v>595</v>
      </c>
      <c r="G100" s="24">
        <f>SUM(F100)</f>
        <v>595</v>
      </c>
      <c r="H100" s="21" t="s">
        <v>40</v>
      </c>
      <c r="I100" s="33"/>
    </row>
    <row r="101" spans="1:9" ht="15" x14ac:dyDescent="0.2">
      <c r="A101" s="100" t="s">
        <v>195</v>
      </c>
      <c r="B101" s="100" t="s">
        <v>233</v>
      </c>
      <c r="C101" s="78" t="s">
        <v>196</v>
      </c>
      <c r="D101" s="22">
        <v>595</v>
      </c>
      <c r="E101" s="20">
        <v>1</v>
      </c>
      <c r="F101" s="24">
        <f t="shared" si="13"/>
        <v>595</v>
      </c>
      <c r="G101" s="24">
        <f t="shared" si="12"/>
        <v>595</v>
      </c>
      <c r="H101" s="93" t="s">
        <v>40</v>
      </c>
      <c r="I101" s="33"/>
    </row>
    <row r="102" spans="1:9" ht="15" x14ac:dyDescent="0.2">
      <c r="A102" s="104" t="s">
        <v>174</v>
      </c>
      <c r="B102" s="36"/>
      <c r="C102" s="36" t="s">
        <v>179</v>
      </c>
      <c r="D102" s="22">
        <v>3801</v>
      </c>
      <c r="E102" s="20">
        <v>1</v>
      </c>
      <c r="F102" s="24">
        <f t="shared" si="13"/>
        <v>3801</v>
      </c>
      <c r="G102" s="24">
        <f>SUM(F102)</f>
        <v>3801</v>
      </c>
      <c r="H102" s="21" t="s">
        <v>40</v>
      </c>
      <c r="I102" s="33"/>
    </row>
    <row r="103" spans="1:9" ht="15" x14ac:dyDescent="0.2">
      <c r="A103" s="45" t="s">
        <v>180</v>
      </c>
      <c r="B103" s="36"/>
      <c r="C103" s="45" t="s">
        <v>184</v>
      </c>
      <c r="D103" s="22">
        <v>975</v>
      </c>
      <c r="E103" s="20">
        <v>1</v>
      </c>
      <c r="F103" s="24">
        <f t="shared" si="13"/>
        <v>975</v>
      </c>
      <c r="G103" s="24">
        <f t="shared" si="12"/>
        <v>975</v>
      </c>
      <c r="H103" s="21" t="s">
        <v>40</v>
      </c>
      <c r="I103" s="20"/>
    </row>
    <row r="104" spans="1:9" ht="15" x14ac:dyDescent="0.2">
      <c r="A104" s="45" t="s">
        <v>180</v>
      </c>
      <c r="B104" s="20"/>
      <c r="C104" s="45" t="s">
        <v>185</v>
      </c>
      <c r="D104" s="22">
        <v>975</v>
      </c>
      <c r="E104" s="20">
        <v>1</v>
      </c>
      <c r="F104" s="24">
        <f t="shared" si="13"/>
        <v>975</v>
      </c>
      <c r="G104" s="24">
        <f t="shared" si="12"/>
        <v>975</v>
      </c>
      <c r="H104" s="21" t="s">
        <v>40</v>
      </c>
      <c r="I104" s="20"/>
    </row>
    <row r="105" spans="1:9" ht="15" x14ac:dyDescent="0.2">
      <c r="A105" s="47" t="s">
        <v>181</v>
      </c>
      <c r="B105" s="20"/>
      <c r="C105" s="20"/>
      <c r="D105" s="22">
        <v>585</v>
      </c>
      <c r="E105" s="20">
        <v>1</v>
      </c>
      <c r="F105" s="24">
        <f t="shared" si="13"/>
        <v>585</v>
      </c>
      <c r="G105" s="24">
        <f>SUM(F105+975)</f>
        <v>1560</v>
      </c>
      <c r="H105" s="21" t="s">
        <v>40</v>
      </c>
      <c r="I105" s="20"/>
    </row>
    <row r="106" spans="1:9" ht="15" x14ac:dyDescent="0.2">
      <c r="A106" s="47" t="s">
        <v>182</v>
      </c>
      <c r="B106" s="20"/>
      <c r="C106" s="20"/>
      <c r="D106" s="22">
        <v>975</v>
      </c>
      <c r="E106" s="20">
        <v>1</v>
      </c>
      <c r="F106" s="24">
        <f t="shared" si="13"/>
        <v>975</v>
      </c>
      <c r="G106" s="24">
        <f>SUM(F106+975)</f>
        <v>1950</v>
      </c>
      <c r="H106" s="21" t="s">
        <v>40</v>
      </c>
      <c r="I106" s="20"/>
    </row>
    <row r="107" spans="1:9" ht="15" x14ac:dyDescent="0.2">
      <c r="A107" s="47" t="s">
        <v>183</v>
      </c>
      <c r="B107" s="20"/>
      <c r="C107" s="20"/>
      <c r="D107" s="22">
        <v>1950</v>
      </c>
      <c r="E107" s="20">
        <v>1</v>
      </c>
      <c r="F107" s="24">
        <f t="shared" si="13"/>
        <v>1950</v>
      </c>
      <c r="G107" s="24">
        <f>SUM(F107+975)</f>
        <v>2925</v>
      </c>
      <c r="H107" s="21" t="s">
        <v>40</v>
      </c>
      <c r="I107" s="20"/>
    </row>
    <row r="108" spans="1:9" ht="15" x14ac:dyDescent="0.2">
      <c r="A108" s="47" t="s">
        <v>222</v>
      </c>
      <c r="B108" s="106" t="s">
        <v>225</v>
      </c>
      <c r="C108" s="92" t="s">
        <v>223</v>
      </c>
      <c r="D108" s="22">
        <v>2000</v>
      </c>
      <c r="E108" s="20">
        <v>1</v>
      </c>
      <c r="F108" s="24">
        <f t="shared" si="13"/>
        <v>2000</v>
      </c>
      <c r="G108" s="24">
        <f>SUM(F108)</f>
        <v>2000</v>
      </c>
      <c r="H108" s="93" t="s">
        <v>224</v>
      </c>
      <c r="I108" s="20"/>
    </row>
    <row r="109" spans="1:9" ht="15" x14ac:dyDescent="0.25">
      <c r="A109" s="47" t="s">
        <v>221</v>
      </c>
      <c r="B109" s="94" t="s">
        <v>220</v>
      </c>
      <c r="C109" s="105" t="s">
        <v>239</v>
      </c>
      <c r="D109" s="22">
        <v>246</v>
      </c>
      <c r="E109" s="20">
        <v>1</v>
      </c>
      <c r="F109" s="24">
        <f>SUM(D109*E109)</f>
        <v>246</v>
      </c>
      <c r="G109" s="24">
        <f>SUM(F109*1.12)</f>
        <v>275.52000000000004</v>
      </c>
      <c r="H109" s="93" t="s">
        <v>40</v>
      </c>
      <c r="I109" s="20"/>
    </row>
    <row r="110" spans="1:9" ht="15" x14ac:dyDescent="0.2">
      <c r="A110" s="47" t="s">
        <v>234</v>
      </c>
      <c r="B110" s="94"/>
      <c r="C110" s="95"/>
      <c r="D110" s="22">
        <v>1100</v>
      </c>
      <c r="E110" s="20">
        <v>1</v>
      </c>
      <c r="F110" s="24">
        <f>SUM(D110*E110)</f>
        <v>1100</v>
      </c>
      <c r="G110" s="24">
        <f>SUM(F110)</f>
        <v>1100</v>
      </c>
      <c r="H110" s="101" t="s">
        <v>40</v>
      </c>
      <c r="I110" s="20"/>
    </row>
    <row r="111" spans="1:9" x14ac:dyDescent="0.2">
      <c r="A111" s="88" t="s">
        <v>200</v>
      </c>
      <c r="B111" s="88" t="s">
        <v>201</v>
      </c>
      <c r="C111" s="88" t="s">
        <v>202</v>
      </c>
      <c r="D111" s="88" t="s">
        <v>203</v>
      </c>
      <c r="E111" s="88"/>
      <c r="F111" s="88" t="s">
        <v>178</v>
      </c>
      <c r="G111" s="88" t="s">
        <v>219</v>
      </c>
      <c r="H111" s="111" t="s">
        <v>204</v>
      </c>
      <c r="I111" s="112"/>
    </row>
    <row r="112" spans="1:9" x14ac:dyDescent="0.2">
      <c r="A112" s="85" t="s">
        <v>205</v>
      </c>
      <c r="B112" s="85" t="s">
        <v>206</v>
      </c>
      <c r="C112" s="85">
        <v>2.5</v>
      </c>
      <c r="D112" s="85">
        <v>975</v>
      </c>
      <c r="E112" s="85"/>
      <c r="F112" s="86">
        <v>2438</v>
      </c>
      <c r="G112" s="85"/>
      <c r="H112" s="109"/>
      <c r="I112" s="110"/>
    </row>
    <row r="113" spans="1:9" x14ac:dyDescent="0.2">
      <c r="A113" s="85"/>
      <c r="B113" s="85" t="s">
        <v>207</v>
      </c>
      <c r="C113" s="85">
        <v>2.5</v>
      </c>
      <c r="D113" s="85"/>
      <c r="E113" s="85"/>
      <c r="F113" s="86">
        <v>2438</v>
      </c>
      <c r="G113" s="85"/>
      <c r="H113" s="109"/>
      <c r="I113" s="110"/>
    </row>
    <row r="114" spans="1:9" x14ac:dyDescent="0.2">
      <c r="A114" s="85"/>
      <c r="B114" s="85" t="s">
        <v>208</v>
      </c>
      <c r="C114" s="85">
        <v>20</v>
      </c>
      <c r="D114" s="85"/>
      <c r="E114" s="85"/>
      <c r="F114" s="86">
        <v>19500</v>
      </c>
      <c r="G114" s="85"/>
      <c r="H114" s="109"/>
      <c r="I114" s="110"/>
    </row>
    <row r="115" spans="1:9" x14ac:dyDescent="0.2">
      <c r="A115" s="85"/>
      <c r="B115" s="85" t="s">
        <v>209</v>
      </c>
      <c r="C115" s="85">
        <v>30</v>
      </c>
      <c r="D115" s="85"/>
      <c r="E115" s="85"/>
      <c r="F115" s="86">
        <v>29250</v>
      </c>
      <c r="G115" s="85"/>
      <c r="H115" s="109"/>
      <c r="I115" s="110"/>
    </row>
    <row r="116" spans="1:9" x14ac:dyDescent="0.2">
      <c r="A116" s="85"/>
      <c r="B116" s="85" t="s">
        <v>210</v>
      </c>
      <c r="C116" s="85">
        <v>65</v>
      </c>
      <c r="D116" s="85"/>
      <c r="E116" s="85"/>
      <c r="F116" s="86">
        <v>63375</v>
      </c>
      <c r="G116" s="85"/>
      <c r="H116" s="109"/>
      <c r="I116" s="110"/>
    </row>
    <row r="117" spans="1:9" ht="15" x14ac:dyDescent="0.2">
      <c r="A117" s="87"/>
      <c r="B117" s="87"/>
      <c r="C117" s="87"/>
      <c r="D117" s="87"/>
      <c r="E117" s="87"/>
      <c r="F117" s="87"/>
      <c r="G117" s="87"/>
      <c r="H117" s="87"/>
      <c r="I117" s="87"/>
    </row>
    <row r="118" spans="1:9" x14ac:dyDescent="0.2">
      <c r="A118" s="85" t="s">
        <v>211</v>
      </c>
      <c r="B118" s="85" t="s">
        <v>206</v>
      </c>
      <c r="C118" s="85">
        <v>2.5</v>
      </c>
      <c r="D118" s="85"/>
      <c r="E118" s="85"/>
      <c r="F118" s="86">
        <v>2438</v>
      </c>
      <c r="G118" s="85"/>
      <c r="H118" s="109"/>
      <c r="I118" s="110"/>
    </row>
    <row r="119" spans="1:9" x14ac:dyDescent="0.2">
      <c r="A119" s="85"/>
      <c r="B119" s="85" t="s">
        <v>208</v>
      </c>
      <c r="C119" s="85">
        <v>22</v>
      </c>
      <c r="D119" s="85"/>
      <c r="E119" s="85"/>
      <c r="F119" s="86">
        <v>21450</v>
      </c>
      <c r="G119" s="85"/>
      <c r="H119" s="109"/>
      <c r="I119" s="110"/>
    </row>
    <row r="120" spans="1:9" x14ac:dyDescent="0.2">
      <c r="A120" s="85"/>
      <c r="B120" s="85" t="s">
        <v>209</v>
      </c>
      <c r="C120" s="85">
        <v>35</v>
      </c>
      <c r="D120" s="85"/>
      <c r="E120" s="85"/>
      <c r="F120" s="86">
        <v>34125</v>
      </c>
      <c r="G120" s="85"/>
      <c r="H120" s="109"/>
      <c r="I120" s="110"/>
    </row>
    <row r="121" spans="1:9" x14ac:dyDescent="0.2">
      <c r="A121" s="85"/>
      <c r="B121" s="85" t="s">
        <v>210</v>
      </c>
      <c r="C121" s="85">
        <v>70</v>
      </c>
      <c r="D121" s="85"/>
      <c r="E121" s="85"/>
      <c r="F121" s="86">
        <v>68250</v>
      </c>
      <c r="G121" s="85"/>
      <c r="H121" s="109"/>
      <c r="I121" s="110"/>
    </row>
    <row r="122" spans="1:9" ht="15" x14ac:dyDescent="0.2">
      <c r="A122" s="87"/>
      <c r="B122" s="87"/>
      <c r="C122" s="87"/>
      <c r="D122" s="87"/>
      <c r="E122" s="87"/>
      <c r="F122" s="87"/>
      <c r="G122" s="87"/>
      <c r="H122" s="87"/>
      <c r="I122" s="29"/>
    </row>
    <row r="123" spans="1:9" x14ac:dyDescent="0.2">
      <c r="A123" s="85" t="s">
        <v>212</v>
      </c>
      <c r="B123" s="85" t="s">
        <v>206</v>
      </c>
      <c r="C123" s="85">
        <v>2.5</v>
      </c>
      <c r="D123" s="85"/>
      <c r="E123" s="85"/>
      <c r="F123" s="86">
        <v>2438</v>
      </c>
      <c r="G123" s="85"/>
      <c r="H123" s="109"/>
      <c r="I123" s="110"/>
    </row>
    <row r="124" spans="1:9" x14ac:dyDescent="0.2">
      <c r="A124" s="85"/>
      <c r="B124" s="85" t="s">
        <v>208</v>
      </c>
      <c r="C124" s="85">
        <v>30</v>
      </c>
      <c r="D124" s="85"/>
      <c r="E124" s="85"/>
      <c r="F124" s="86">
        <v>29250</v>
      </c>
      <c r="G124" s="85"/>
      <c r="H124" s="109"/>
      <c r="I124" s="110"/>
    </row>
    <row r="125" spans="1:9" x14ac:dyDescent="0.2">
      <c r="A125" s="85"/>
      <c r="B125" s="85" t="s">
        <v>210</v>
      </c>
      <c r="C125" s="85">
        <v>85</v>
      </c>
      <c r="D125" s="85"/>
      <c r="E125" s="85"/>
      <c r="F125" s="86">
        <v>82875</v>
      </c>
      <c r="G125" s="85"/>
      <c r="H125" s="109"/>
      <c r="I125" s="110"/>
    </row>
    <row r="126" spans="1:9" ht="15" x14ac:dyDescent="0.2">
      <c r="A126" s="87"/>
      <c r="B126" s="87"/>
      <c r="C126" s="87"/>
      <c r="D126" s="87"/>
      <c r="E126" s="87"/>
      <c r="F126" s="87"/>
      <c r="G126" s="87"/>
      <c r="H126" s="87"/>
      <c r="I126" s="29"/>
    </row>
    <row r="127" spans="1:9" x14ac:dyDescent="0.2">
      <c r="A127" s="85" t="s">
        <v>213</v>
      </c>
      <c r="B127" s="85" t="s">
        <v>206</v>
      </c>
      <c r="C127" s="85">
        <v>4.5</v>
      </c>
      <c r="D127" s="85"/>
      <c r="E127" s="85"/>
      <c r="F127" s="86">
        <v>4388</v>
      </c>
      <c r="G127" s="85"/>
      <c r="H127" s="109"/>
      <c r="I127" s="110"/>
    </row>
    <row r="128" spans="1:9" x14ac:dyDescent="0.2">
      <c r="A128" s="85"/>
      <c r="B128" s="85" t="s">
        <v>208</v>
      </c>
      <c r="C128" s="85">
        <v>40</v>
      </c>
      <c r="D128" s="85"/>
      <c r="E128" s="85"/>
      <c r="F128" s="86">
        <v>39000</v>
      </c>
      <c r="G128" s="85"/>
      <c r="H128" s="109"/>
      <c r="I128" s="110"/>
    </row>
    <row r="129" spans="1:9" x14ac:dyDescent="0.2">
      <c r="A129" s="85"/>
      <c r="B129" s="85" t="s">
        <v>209</v>
      </c>
      <c r="C129" s="85">
        <v>80</v>
      </c>
      <c r="D129" s="85"/>
      <c r="E129" s="85"/>
      <c r="F129" s="86">
        <v>78000</v>
      </c>
      <c r="G129" s="85"/>
      <c r="H129" s="109"/>
      <c r="I129" s="110"/>
    </row>
    <row r="130" spans="1:9" x14ac:dyDescent="0.2">
      <c r="A130" s="85"/>
      <c r="B130" s="85" t="s">
        <v>210</v>
      </c>
      <c r="C130" s="85">
        <v>120</v>
      </c>
      <c r="D130" s="85"/>
      <c r="E130" s="85"/>
      <c r="F130" s="86">
        <v>117000</v>
      </c>
      <c r="G130" s="85"/>
      <c r="H130" s="109"/>
      <c r="I130" s="110"/>
    </row>
    <row r="131" spans="1:9" ht="15" x14ac:dyDescent="0.2">
      <c r="A131" s="87"/>
      <c r="B131" s="87"/>
      <c r="C131" s="87"/>
      <c r="D131" s="87"/>
      <c r="E131" s="87"/>
      <c r="F131" s="87"/>
      <c r="G131" s="87"/>
      <c r="H131" s="87"/>
      <c r="I131" s="29"/>
    </row>
    <row r="132" spans="1:9" x14ac:dyDescent="0.2">
      <c r="A132" s="85" t="s">
        <v>214</v>
      </c>
      <c r="B132" s="85" t="s">
        <v>206</v>
      </c>
      <c r="C132" s="85">
        <v>5.5</v>
      </c>
      <c r="D132" s="85"/>
      <c r="E132" s="85"/>
      <c r="F132" s="86">
        <v>5363</v>
      </c>
      <c r="G132" s="85"/>
      <c r="H132" s="109"/>
      <c r="I132" s="110"/>
    </row>
    <row r="133" spans="1:9" x14ac:dyDescent="0.2">
      <c r="A133" s="85"/>
      <c r="B133" s="85" t="s">
        <v>208</v>
      </c>
      <c r="C133" s="85">
        <v>50</v>
      </c>
      <c r="D133" s="85"/>
      <c r="E133" s="85"/>
      <c r="F133" s="86">
        <v>48750</v>
      </c>
      <c r="G133" s="85"/>
      <c r="H133" s="109"/>
      <c r="I133" s="110"/>
    </row>
    <row r="134" spans="1:9" x14ac:dyDescent="0.2">
      <c r="A134" s="85"/>
      <c r="B134" s="85" t="s">
        <v>209</v>
      </c>
      <c r="C134" s="85">
        <v>100</v>
      </c>
      <c r="D134" s="85"/>
      <c r="E134" s="85"/>
      <c r="F134" s="86">
        <v>97500</v>
      </c>
      <c r="G134" s="85"/>
      <c r="H134" s="109"/>
      <c r="I134" s="110"/>
    </row>
    <row r="135" spans="1:9" x14ac:dyDescent="0.2">
      <c r="A135" s="85"/>
      <c r="B135" s="85" t="s">
        <v>210</v>
      </c>
      <c r="C135" s="85">
        <v>140</v>
      </c>
      <c r="D135" s="85"/>
      <c r="E135" s="85"/>
      <c r="F135" s="86">
        <v>136500</v>
      </c>
      <c r="G135" s="85"/>
      <c r="H135" s="109"/>
      <c r="I135" s="110"/>
    </row>
    <row r="136" spans="1:9" ht="15" x14ac:dyDescent="0.2">
      <c r="A136" s="87"/>
      <c r="B136" s="87"/>
      <c r="C136" s="87"/>
      <c r="D136" s="87"/>
      <c r="E136" s="87"/>
      <c r="F136" s="87"/>
      <c r="G136" s="87"/>
      <c r="H136" s="87"/>
      <c r="I136" s="29"/>
    </row>
    <row r="137" spans="1:9" x14ac:dyDescent="0.2">
      <c r="A137" s="85" t="s">
        <v>215</v>
      </c>
      <c r="B137" s="85" t="s">
        <v>206</v>
      </c>
      <c r="C137" s="85">
        <v>5</v>
      </c>
      <c r="D137" s="85"/>
      <c r="E137" s="85"/>
      <c r="F137" s="86">
        <v>4875</v>
      </c>
      <c r="G137" s="85"/>
      <c r="H137" s="109"/>
      <c r="I137" s="110"/>
    </row>
    <row r="138" spans="1:9" x14ac:dyDescent="0.2">
      <c r="A138" s="85"/>
      <c r="B138" s="85" t="s">
        <v>208</v>
      </c>
      <c r="C138" s="85">
        <v>25</v>
      </c>
      <c r="D138" s="85"/>
      <c r="E138" s="85"/>
      <c r="F138" s="86">
        <v>24375</v>
      </c>
      <c r="G138" s="85"/>
      <c r="H138" s="109"/>
      <c r="I138" s="110"/>
    </row>
    <row r="139" spans="1:9" x14ac:dyDescent="0.2">
      <c r="A139" s="85"/>
      <c r="B139" s="85" t="s">
        <v>209</v>
      </c>
      <c r="C139" s="85">
        <v>50</v>
      </c>
      <c r="D139" s="85"/>
      <c r="E139" s="85"/>
      <c r="F139" s="86">
        <v>48750</v>
      </c>
      <c r="G139" s="85"/>
      <c r="H139" s="109"/>
      <c r="I139" s="110"/>
    </row>
    <row r="140" spans="1:9" x14ac:dyDescent="0.2">
      <c r="A140" s="85"/>
      <c r="B140" s="85" t="s">
        <v>210</v>
      </c>
      <c r="C140" s="85">
        <v>110</v>
      </c>
      <c r="D140" s="85"/>
      <c r="E140" s="85"/>
      <c r="F140" s="86">
        <v>107250</v>
      </c>
      <c r="G140" s="85"/>
      <c r="H140" s="109"/>
      <c r="I140" s="110"/>
    </row>
    <row r="141" spans="1:9" ht="15" x14ac:dyDescent="0.2">
      <c r="A141" s="87"/>
      <c r="B141" s="87"/>
      <c r="C141" s="87"/>
      <c r="D141" s="87"/>
      <c r="E141" s="87"/>
      <c r="F141" s="87"/>
      <c r="G141" s="87"/>
      <c r="H141" s="87"/>
      <c r="I141" s="29"/>
    </row>
    <row r="142" spans="1:9" x14ac:dyDescent="0.2">
      <c r="A142" s="85" t="s">
        <v>216</v>
      </c>
      <c r="B142" s="85" t="s">
        <v>206</v>
      </c>
      <c r="C142" s="85">
        <v>5.5</v>
      </c>
      <c r="D142" s="85"/>
      <c r="E142" s="85"/>
      <c r="F142" s="86">
        <v>5363</v>
      </c>
      <c r="G142" s="85"/>
      <c r="H142" s="109"/>
      <c r="I142" s="110"/>
    </row>
    <row r="143" spans="1:9" x14ac:dyDescent="0.2">
      <c r="A143" s="85"/>
      <c r="B143" s="85" t="s">
        <v>208</v>
      </c>
      <c r="C143" s="85">
        <v>50</v>
      </c>
      <c r="D143" s="85"/>
      <c r="E143" s="85"/>
      <c r="F143" s="86">
        <v>48750</v>
      </c>
      <c r="G143" s="85"/>
      <c r="H143" s="109"/>
      <c r="I143" s="110"/>
    </row>
    <row r="144" spans="1:9" x14ac:dyDescent="0.2">
      <c r="A144" s="85"/>
      <c r="B144" s="85" t="s">
        <v>209</v>
      </c>
      <c r="C144" s="85">
        <v>100</v>
      </c>
      <c r="D144" s="85"/>
      <c r="E144" s="85"/>
      <c r="F144" s="86">
        <v>97500</v>
      </c>
      <c r="G144" s="85"/>
      <c r="H144" s="109"/>
      <c r="I144" s="110"/>
    </row>
    <row r="145" spans="1:9" x14ac:dyDescent="0.2">
      <c r="A145" s="85"/>
      <c r="B145" s="85" t="s">
        <v>210</v>
      </c>
      <c r="C145" s="85">
        <v>140</v>
      </c>
      <c r="D145" s="85"/>
      <c r="E145" s="85"/>
      <c r="F145" s="86">
        <v>136500</v>
      </c>
      <c r="G145" s="85"/>
      <c r="H145" s="109"/>
      <c r="I145" s="110"/>
    </row>
    <row r="146" spans="1:9" ht="15" x14ac:dyDescent="0.2">
      <c r="A146" s="87"/>
      <c r="B146" s="87"/>
      <c r="C146" s="87"/>
      <c r="D146" s="87"/>
      <c r="E146" s="87"/>
      <c r="F146" s="87"/>
      <c r="G146" s="87"/>
      <c r="H146" s="87"/>
      <c r="I146" s="29"/>
    </row>
    <row r="147" spans="1:9" x14ac:dyDescent="0.2">
      <c r="A147" s="85" t="s">
        <v>217</v>
      </c>
      <c r="B147" s="85" t="s">
        <v>218</v>
      </c>
      <c r="C147" s="85">
        <v>6</v>
      </c>
      <c r="D147" s="85"/>
      <c r="E147" s="85"/>
      <c r="F147" s="86">
        <v>5850</v>
      </c>
      <c r="G147" s="85"/>
      <c r="H147" s="109"/>
      <c r="I147" s="110"/>
    </row>
    <row r="148" spans="1:9" x14ac:dyDescent="0.2">
      <c r="A148" s="85"/>
      <c r="B148" s="85" t="s">
        <v>208</v>
      </c>
      <c r="C148" s="85">
        <v>16</v>
      </c>
      <c r="D148" s="85"/>
      <c r="E148" s="85"/>
      <c r="F148" s="86">
        <v>15600</v>
      </c>
      <c r="G148" s="85"/>
      <c r="H148" s="109"/>
      <c r="I148" s="110"/>
    </row>
    <row r="149" spans="1:9" x14ac:dyDescent="0.2">
      <c r="A149" s="85"/>
      <c r="B149" s="85" t="s">
        <v>209</v>
      </c>
      <c r="C149" s="85">
        <v>32</v>
      </c>
      <c r="D149" s="85"/>
      <c r="E149" s="85"/>
      <c r="F149" s="86">
        <v>31200</v>
      </c>
      <c r="G149" s="85"/>
      <c r="H149" s="109"/>
      <c r="I149" s="110"/>
    </row>
    <row r="150" spans="1:9" x14ac:dyDescent="0.2">
      <c r="A150" s="85"/>
      <c r="B150" s="85" t="s">
        <v>210</v>
      </c>
      <c r="C150" s="85">
        <v>80</v>
      </c>
      <c r="D150" s="85"/>
      <c r="E150" s="85"/>
      <c r="F150" s="86">
        <v>78000</v>
      </c>
      <c r="G150" s="85"/>
      <c r="H150" s="109"/>
      <c r="I150" s="110"/>
    </row>
    <row r="151" spans="1:9" ht="15" x14ac:dyDescent="0.2">
      <c r="A151" s="87"/>
      <c r="B151" s="87"/>
      <c r="C151" s="87"/>
      <c r="D151" s="87"/>
      <c r="E151" s="87"/>
      <c r="F151" s="87"/>
      <c r="G151" s="87"/>
      <c r="H151" s="87"/>
      <c r="I151" s="29"/>
    </row>
  </sheetData>
  <mergeCells count="33">
    <mergeCell ref="H129:I129"/>
    <mergeCell ref="H130:I130"/>
    <mergeCell ref="H123:I123"/>
    <mergeCell ref="H124:I124"/>
    <mergeCell ref="H125:I125"/>
    <mergeCell ref="H127:I127"/>
    <mergeCell ref="H128:I128"/>
    <mergeCell ref="H116:I116"/>
    <mergeCell ref="H118:I118"/>
    <mergeCell ref="H119:I119"/>
    <mergeCell ref="H120:I120"/>
    <mergeCell ref="H121:I121"/>
    <mergeCell ref="H111:I111"/>
    <mergeCell ref="H112:I112"/>
    <mergeCell ref="H113:I113"/>
    <mergeCell ref="H114:I114"/>
    <mergeCell ref="H115:I115"/>
    <mergeCell ref="H132:I132"/>
    <mergeCell ref="H133:I133"/>
    <mergeCell ref="H134:I134"/>
    <mergeCell ref="H135:I135"/>
    <mergeCell ref="H137:I137"/>
    <mergeCell ref="H138:I138"/>
    <mergeCell ref="H139:I139"/>
    <mergeCell ref="H140:I140"/>
    <mergeCell ref="H142:I142"/>
    <mergeCell ref="H143:I143"/>
    <mergeCell ref="H144:I144"/>
    <mergeCell ref="H145:I145"/>
    <mergeCell ref="H147:I147"/>
    <mergeCell ref="H148:I148"/>
    <mergeCell ref="H150:I150"/>
    <mergeCell ref="H149:I149"/>
  </mergeCells>
  <pageMargins left="0.7" right="0.7" top="0.75" bottom="0.75" header="0.3" footer="0.3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BB6E-5929-4AC3-80B6-676F07872516}">
  <sheetPr>
    <tabColor rgb="FFC00000"/>
  </sheetPr>
  <dimension ref="A1:I142"/>
  <sheetViews>
    <sheetView topLeftCell="A70" workbookViewId="0">
      <selection activeCell="A95" sqref="A95"/>
    </sheetView>
  </sheetViews>
  <sheetFormatPr defaultRowHeight="14.25" x14ac:dyDescent="0.2"/>
  <cols>
    <col min="1" max="1" width="23.625" customWidth="1"/>
    <col min="2" max="2" width="16.625" customWidth="1"/>
    <col min="3" max="3" width="23.625" customWidth="1"/>
    <col min="4" max="9" width="9.625" customWidth="1"/>
  </cols>
  <sheetData>
    <row r="1" spans="1:9" ht="15" x14ac:dyDescent="0.2">
      <c r="A1" s="18" t="s">
        <v>0</v>
      </c>
      <c r="B1" s="18" t="s">
        <v>1</v>
      </c>
      <c r="C1" s="18" t="s">
        <v>2</v>
      </c>
      <c r="D1" s="18" t="s">
        <v>3</v>
      </c>
      <c r="E1" s="19" t="s">
        <v>163</v>
      </c>
      <c r="F1" s="19" t="s">
        <v>164</v>
      </c>
      <c r="G1" s="19" t="s">
        <v>4</v>
      </c>
      <c r="H1" s="19" t="s">
        <v>5</v>
      </c>
      <c r="I1" s="32" t="s">
        <v>186</v>
      </c>
    </row>
    <row r="2" spans="1:9" ht="15" x14ac:dyDescent="0.2">
      <c r="A2" s="36"/>
      <c r="B2" s="36"/>
      <c r="C2" s="36"/>
      <c r="D2" s="36"/>
      <c r="E2" s="20"/>
      <c r="F2" s="20"/>
      <c r="G2" s="20"/>
      <c r="H2" s="21"/>
      <c r="I2" s="33"/>
    </row>
    <row r="3" spans="1:9" ht="15" x14ac:dyDescent="0.2">
      <c r="A3" s="36" t="s">
        <v>6</v>
      </c>
      <c r="B3" s="36" t="s">
        <v>7</v>
      </c>
      <c r="C3" s="36" t="s">
        <v>8</v>
      </c>
      <c r="D3" s="22">
        <v>41</v>
      </c>
      <c r="E3" s="23"/>
      <c r="F3" s="24">
        <f t="shared" ref="F3:F11" si="0">SUM(D3*E3)</f>
        <v>0</v>
      </c>
      <c r="G3" s="24">
        <f>SUM(F3*1.25)</f>
        <v>0</v>
      </c>
      <c r="H3" s="21" t="s">
        <v>9</v>
      </c>
      <c r="I3" s="33"/>
    </row>
    <row r="4" spans="1:9" ht="15" x14ac:dyDescent="0.2">
      <c r="A4" s="37" t="s">
        <v>10</v>
      </c>
      <c r="B4" s="36" t="s">
        <v>7</v>
      </c>
      <c r="C4" s="38" t="s">
        <v>11</v>
      </c>
      <c r="D4" s="22">
        <v>42</v>
      </c>
      <c r="E4" s="20"/>
      <c r="F4" s="24">
        <f>SUM(D4*E4)</f>
        <v>0</v>
      </c>
      <c r="G4" s="24">
        <f t="shared" ref="G4:G17" si="1">SUM(F4*1.25)</f>
        <v>0</v>
      </c>
      <c r="H4" s="21" t="s">
        <v>9</v>
      </c>
      <c r="I4" s="33"/>
    </row>
    <row r="5" spans="1:9" ht="15" x14ac:dyDescent="0.2">
      <c r="A5" s="36" t="s">
        <v>12</v>
      </c>
      <c r="B5" s="36" t="s">
        <v>7</v>
      </c>
      <c r="C5" s="36" t="s">
        <v>13</v>
      </c>
      <c r="D5" s="22">
        <v>41.5</v>
      </c>
      <c r="E5" s="20"/>
      <c r="F5" s="24">
        <f t="shared" si="0"/>
        <v>0</v>
      </c>
      <c r="G5" s="24">
        <f t="shared" si="1"/>
        <v>0</v>
      </c>
      <c r="H5" s="21" t="s">
        <v>9</v>
      </c>
      <c r="I5" s="33"/>
    </row>
    <row r="6" spans="1:9" ht="15" x14ac:dyDescent="0.2">
      <c r="A6" s="36" t="s">
        <v>14</v>
      </c>
      <c r="B6" s="36" t="s">
        <v>7</v>
      </c>
      <c r="C6" s="36" t="s">
        <v>15</v>
      </c>
      <c r="D6" s="22">
        <v>28</v>
      </c>
      <c r="E6" s="20"/>
      <c r="F6" s="24">
        <f t="shared" si="0"/>
        <v>0</v>
      </c>
      <c r="G6" s="24">
        <f t="shared" si="1"/>
        <v>0</v>
      </c>
      <c r="H6" s="21" t="s">
        <v>9</v>
      </c>
      <c r="I6" s="33"/>
    </row>
    <row r="7" spans="1:9" ht="15" x14ac:dyDescent="0.2">
      <c r="A7" s="36" t="s">
        <v>16</v>
      </c>
      <c r="B7" s="36" t="s">
        <v>7</v>
      </c>
      <c r="C7" s="36" t="s">
        <v>17</v>
      </c>
      <c r="D7" s="22">
        <v>16</v>
      </c>
      <c r="E7" s="20"/>
      <c r="F7" s="24">
        <f t="shared" si="0"/>
        <v>0</v>
      </c>
      <c r="G7" s="24">
        <f t="shared" si="1"/>
        <v>0</v>
      </c>
      <c r="H7" s="21" t="s">
        <v>9</v>
      </c>
      <c r="I7" s="33"/>
    </row>
    <row r="8" spans="1:9" ht="15" x14ac:dyDescent="0.2">
      <c r="A8" s="36" t="s">
        <v>18</v>
      </c>
      <c r="B8" s="36" t="s">
        <v>7</v>
      </c>
      <c r="C8" s="36" t="s">
        <v>19</v>
      </c>
      <c r="D8" s="22">
        <v>29</v>
      </c>
      <c r="E8" s="20">
        <v>90</v>
      </c>
      <c r="F8" s="24">
        <f t="shared" si="0"/>
        <v>2610</v>
      </c>
      <c r="G8" s="24">
        <f t="shared" si="1"/>
        <v>3262.5</v>
      </c>
      <c r="H8" s="21" t="s">
        <v>9</v>
      </c>
      <c r="I8" s="33"/>
    </row>
    <row r="9" spans="1:9" ht="15" x14ac:dyDescent="0.2">
      <c r="A9" s="36" t="s">
        <v>20</v>
      </c>
      <c r="B9" s="36" t="s">
        <v>7</v>
      </c>
      <c r="C9" s="36" t="s">
        <v>21</v>
      </c>
      <c r="D9" s="22">
        <v>28</v>
      </c>
      <c r="E9" s="20"/>
      <c r="F9" s="24">
        <f t="shared" si="0"/>
        <v>0</v>
      </c>
      <c r="G9" s="24">
        <f>SUM(F9*1.25)</f>
        <v>0</v>
      </c>
      <c r="H9" s="21" t="s">
        <v>9</v>
      </c>
      <c r="I9" s="34"/>
    </row>
    <row r="10" spans="1:9" ht="15" x14ac:dyDescent="0.2">
      <c r="A10" s="36" t="s">
        <v>23</v>
      </c>
      <c r="B10" s="36" t="s">
        <v>24</v>
      </c>
      <c r="C10" s="36"/>
      <c r="D10" s="22">
        <v>10</v>
      </c>
      <c r="E10" s="20"/>
      <c r="F10" s="24">
        <f t="shared" si="0"/>
        <v>0</v>
      </c>
      <c r="G10" s="24">
        <f t="shared" si="1"/>
        <v>0</v>
      </c>
      <c r="H10" s="21" t="s">
        <v>9</v>
      </c>
      <c r="I10" s="33"/>
    </row>
    <row r="11" spans="1:9" ht="15" x14ac:dyDescent="0.2">
      <c r="A11" s="36" t="s">
        <v>25</v>
      </c>
      <c r="B11" s="36" t="s">
        <v>24</v>
      </c>
      <c r="C11" s="36" t="s">
        <v>26</v>
      </c>
      <c r="D11" s="22">
        <v>20.75</v>
      </c>
      <c r="E11" s="20"/>
      <c r="F11" s="24">
        <f t="shared" si="0"/>
        <v>0</v>
      </c>
      <c r="G11" s="24">
        <f t="shared" si="1"/>
        <v>0</v>
      </c>
      <c r="H11" s="21" t="s">
        <v>9</v>
      </c>
      <c r="I11" s="33"/>
    </row>
    <row r="12" spans="1:9" ht="15" x14ac:dyDescent="0.2">
      <c r="A12" s="36" t="s">
        <v>27</v>
      </c>
      <c r="B12" s="36" t="s">
        <v>24</v>
      </c>
      <c r="C12" s="36" t="s">
        <v>28</v>
      </c>
      <c r="D12" s="22">
        <v>44</v>
      </c>
      <c r="E12" s="20"/>
      <c r="F12" s="24">
        <f>SUM(D12*E12)</f>
        <v>0</v>
      </c>
      <c r="G12" s="24">
        <f t="shared" si="1"/>
        <v>0</v>
      </c>
      <c r="H12" s="25" t="s">
        <v>9</v>
      </c>
      <c r="I12" s="33"/>
    </row>
    <row r="13" spans="1:9" ht="15" x14ac:dyDescent="0.2">
      <c r="A13" s="36" t="s">
        <v>29</v>
      </c>
      <c r="B13" s="36" t="s">
        <v>30</v>
      </c>
      <c r="C13" s="36"/>
      <c r="D13" s="22">
        <v>19.61</v>
      </c>
      <c r="E13" s="20"/>
      <c r="F13" s="24">
        <f>SUM(D13*E13)</f>
        <v>0</v>
      </c>
      <c r="G13" s="24">
        <f t="shared" si="1"/>
        <v>0</v>
      </c>
      <c r="H13" s="21" t="s">
        <v>9</v>
      </c>
      <c r="I13" s="33"/>
    </row>
    <row r="14" spans="1:9" ht="15" x14ac:dyDescent="0.2">
      <c r="A14" s="36" t="s">
        <v>31</v>
      </c>
      <c r="B14" s="36" t="s">
        <v>32</v>
      </c>
      <c r="C14" s="36"/>
      <c r="D14" s="22">
        <v>64.010000000000005</v>
      </c>
      <c r="E14" s="20"/>
      <c r="F14" s="24">
        <f>SUM(D14*E14)</f>
        <v>0</v>
      </c>
      <c r="G14" s="24">
        <f t="shared" si="1"/>
        <v>0</v>
      </c>
      <c r="H14" s="21" t="s">
        <v>33</v>
      </c>
      <c r="I14" s="33"/>
    </row>
    <row r="15" spans="1:9" ht="15" x14ac:dyDescent="0.2">
      <c r="A15" s="36" t="s">
        <v>34</v>
      </c>
      <c r="B15" s="36" t="s">
        <v>35</v>
      </c>
      <c r="C15" s="36"/>
      <c r="D15" s="22">
        <v>85.93</v>
      </c>
      <c r="E15" s="20"/>
      <c r="F15" s="24">
        <f>SUM(D14*E14)</f>
        <v>0</v>
      </c>
      <c r="G15" s="24">
        <f t="shared" si="1"/>
        <v>0</v>
      </c>
      <c r="H15" s="21" t="s">
        <v>33</v>
      </c>
      <c r="I15" s="33"/>
    </row>
    <row r="16" spans="1:9" ht="15" x14ac:dyDescent="0.2">
      <c r="A16" s="39" t="s">
        <v>36</v>
      </c>
      <c r="B16" s="36" t="s">
        <v>7</v>
      </c>
      <c r="C16" s="36" t="s">
        <v>37</v>
      </c>
      <c r="D16" s="22">
        <v>49</v>
      </c>
      <c r="E16" s="20"/>
      <c r="F16" s="24">
        <f>SUM(D16*E16)</f>
        <v>0</v>
      </c>
      <c r="G16" s="24">
        <f t="shared" si="1"/>
        <v>0</v>
      </c>
      <c r="H16" s="21" t="s">
        <v>33</v>
      </c>
      <c r="I16" s="33"/>
    </row>
    <row r="17" spans="1:9" ht="15" x14ac:dyDescent="0.2">
      <c r="A17" s="39" t="s">
        <v>38</v>
      </c>
      <c r="B17" s="36">
        <v>1026725</v>
      </c>
      <c r="C17" s="36" t="s">
        <v>39</v>
      </c>
      <c r="D17" s="22">
        <v>241.7</v>
      </c>
      <c r="E17" s="20"/>
      <c r="F17" s="24">
        <f>SUM(D17*E17)</f>
        <v>0</v>
      </c>
      <c r="G17" s="24">
        <f t="shared" si="1"/>
        <v>0</v>
      </c>
      <c r="H17" s="21" t="s">
        <v>40</v>
      </c>
      <c r="I17" s="33"/>
    </row>
    <row r="18" spans="1:9" ht="15" x14ac:dyDescent="0.2">
      <c r="A18" s="18" t="s">
        <v>0</v>
      </c>
      <c r="B18" s="18" t="s">
        <v>1</v>
      </c>
      <c r="C18" s="18" t="s">
        <v>2</v>
      </c>
      <c r="D18" s="18" t="s">
        <v>3</v>
      </c>
      <c r="E18" s="19" t="s">
        <v>163</v>
      </c>
      <c r="F18" s="19" t="s">
        <v>164</v>
      </c>
      <c r="G18" s="19" t="s">
        <v>4</v>
      </c>
      <c r="H18" s="19" t="s">
        <v>5</v>
      </c>
      <c r="I18" s="32" t="s">
        <v>186</v>
      </c>
    </row>
    <row r="19" spans="1:9" ht="15" x14ac:dyDescent="0.2">
      <c r="A19" s="36" t="s">
        <v>41</v>
      </c>
      <c r="B19" s="36"/>
      <c r="C19" s="36" t="s">
        <v>42</v>
      </c>
      <c r="D19" s="22">
        <v>6</v>
      </c>
      <c r="E19" s="20"/>
      <c r="F19" s="24">
        <f>SUM(D19*E19)</f>
        <v>0</v>
      </c>
      <c r="G19" s="24">
        <f t="shared" ref="G19:G20" si="2">SUM(F19*1.25)</f>
        <v>0</v>
      </c>
      <c r="H19" s="21" t="s">
        <v>9</v>
      </c>
      <c r="I19" s="33"/>
    </row>
    <row r="20" spans="1:9" ht="15" x14ac:dyDescent="0.2">
      <c r="A20" s="39" t="s">
        <v>43</v>
      </c>
      <c r="B20" s="36"/>
      <c r="C20" s="36" t="s">
        <v>42</v>
      </c>
      <c r="D20" s="22">
        <v>29</v>
      </c>
      <c r="E20" s="20"/>
      <c r="F20" s="24">
        <f>SUM(D20*E20)</f>
        <v>0</v>
      </c>
      <c r="G20" s="24">
        <f t="shared" si="2"/>
        <v>0</v>
      </c>
      <c r="H20" s="21" t="s">
        <v>33</v>
      </c>
      <c r="I20" s="33"/>
    </row>
    <row r="21" spans="1:9" ht="15" x14ac:dyDescent="0.2">
      <c r="A21" s="18" t="s">
        <v>0</v>
      </c>
      <c r="B21" s="18" t="s">
        <v>1</v>
      </c>
      <c r="C21" s="18" t="s">
        <v>2</v>
      </c>
      <c r="D21" s="18" t="s">
        <v>3</v>
      </c>
      <c r="E21" s="19" t="s">
        <v>163</v>
      </c>
      <c r="F21" s="19" t="s">
        <v>164</v>
      </c>
      <c r="G21" s="19" t="s">
        <v>4</v>
      </c>
      <c r="H21" s="19" t="s">
        <v>5</v>
      </c>
      <c r="I21" s="32" t="s">
        <v>186</v>
      </c>
    </row>
    <row r="22" spans="1:9" ht="15" x14ac:dyDescent="0.2">
      <c r="A22" s="36" t="s">
        <v>44</v>
      </c>
      <c r="B22" s="36" t="s">
        <v>45</v>
      </c>
      <c r="C22" s="36"/>
      <c r="D22" s="22">
        <v>20.100000000000001</v>
      </c>
      <c r="E22" s="20"/>
      <c r="F22" s="24">
        <f t="shared" ref="F22:F40" si="3">SUM(D22*E22)</f>
        <v>0</v>
      </c>
      <c r="G22" s="24">
        <f t="shared" ref="G22:G40" si="4">SUM(F22*1.25)</f>
        <v>0</v>
      </c>
      <c r="H22" s="21" t="s">
        <v>40</v>
      </c>
      <c r="I22" s="33"/>
    </row>
    <row r="23" spans="1:9" ht="15" x14ac:dyDescent="0.2">
      <c r="A23" s="36" t="s">
        <v>46</v>
      </c>
      <c r="B23" s="36" t="s">
        <v>47</v>
      </c>
      <c r="C23" s="76" t="s">
        <v>193</v>
      </c>
      <c r="D23" s="22">
        <v>116.95</v>
      </c>
      <c r="E23" s="20"/>
      <c r="F23" s="24">
        <f>SUM(D23*E23)</f>
        <v>0</v>
      </c>
      <c r="G23" s="24">
        <f t="shared" si="4"/>
        <v>0</v>
      </c>
      <c r="H23" s="21" t="s">
        <v>40</v>
      </c>
      <c r="I23" s="33"/>
    </row>
    <row r="24" spans="1:9" ht="15" x14ac:dyDescent="0.2">
      <c r="A24" s="36" t="s">
        <v>48</v>
      </c>
      <c r="B24" s="36" t="s">
        <v>49</v>
      </c>
      <c r="C24" s="76" t="s">
        <v>192</v>
      </c>
      <c r="D24" s="22">
        <v>393.54</v>
      </c>
      <c r="E24" s="20">
        <v>1</v>
      </c>
      <c r="F24" s="24">
        <f t="shared" si="3"/>
        <v>393.54</v>
      </c>
      <c r="G24" s="24">
        <f t="shared" si="4"/>
        <v>491.92500000000001</v>
      </c>
      <c r="H24" s="21" t="s">
        <v>40</v>
      </c>
      <c r="I24" s="33"/>
    </row>
    <row r="25" spans="1:9" ht="15" x14ac:dyDescent="0.2">
      <c r="A25" s="36" t="s">
        <v>50</v>
      </c>
      <c r="B25" s="36" t="s">
        <v>51</v>
      </c>
      <c r="C25" s="76" t="s">
        <v>191</v>
      </c>
      <c r="D25" s="22">
        <v>161.31</v>
      </c>
      <c r="E25" s="20"/>
      <c r="F25" s="24">
        <f t="shared" si="3"/>
        <v>0</v>
      </c>
      <c r="G25" s="24">
        <f t="shared" si="4"/>
        <v>0</v>
      </c>
      <c r="H25" s="21" t="s">
        <v>40</v>
      </c>
      <c r="I25" s="33"/>
    </row>
    <row r="26" spans="1:9" ht="15" x14ac:dyDescent="0.2">
      <c r="A26" s="36" t="s">
        <v>52</v>
      </c>
      <c r="B26" s="36" t="s">
        <v>53</v>
      </c>
      <c r="C26" s="36"/>
      <c r="D26" s="22">
        <v>309.95</v>
      </c>
      <c r="E26" s="20"/>
      <c r="F26" s="24">
        <f t="shared" si="3"/>
        <v>0</v>
      </c>
      <c r="G26" s="24">
        <f t="shared" si="4"/>
        <v>0</v>
      </c>
      <c r="H26" s="21" t="s">
        <v>40</v>
      </c>
      <c r="I26" s="33"/>
    </row>
    <row r="27" spans="1:9" ht="15" x14ac:dyDescent="0.2">
      <c r="A27" s="36" t="s">
        <v>54</v>
      </c>
      <c r="B27" s="36" t="s">
        <v>55</v>
      </c>
      <c r="C27" s="36"/>
      <c r="D27" s="22">
        <v>35.31</v>
      </c>
      <c r="E27" s="20"/>
      <c r="F27" s="24">
        <f t="shared" si="3"/>
        <v>0</v>
      </c>
      <c r="G27" s="24">
        <f t="shared" si="4"/>
        <v>0</v>
      </c>
      <c r="H27" s="21" t="s">
        <v>40</v>
      </c>
      <c r="I27" s="33"/>
    </row>
    <row r="28" spans="1:9" ht="15" x14ac:dyDescent="0.2">
      <c r="A28" s="36" t="s">
        <v>56</v>
      </c>
      <c r="B28" s="36" t="s">
        <v>57</v>
      </c>
      <c r="C28" s="36"/>
      <c r="D28" s="22">
        <v>15.12</v>
      </c>
      <c r="E28" s="20"/>
      <c r="F28" s="24">
        <f t="shared" si="3"/>
        <v>0</v>
      </c>
      <c r="G28" s="24">
        <f t="shared" si="4"/>
        <v>0</v>
      </c>
      <c r="H28" s="21" t="s">
        <v>40</v>
      </c>
      <c r="I28" s="33"/>
    </row>
    <row r="29" spans="1:9" ht="15" x14ac:dyDescent="0.2">
      <c r="A29" s="36" t="s">
        <v>58</v>
      </c>
      <c r="B29" s="40" t="s">
        <v>59</v>
      </c>
      <c r="C29" s="36"/>
      <c r="D29" s="22">
        <v>121</v>
      </c>
      <c r="E29" s="20"/>
      <c r="F29" s="24">
        <f t="shared" si="3"/>
        <v>0</v>
      </c>
      <c r="G29" s="24">
        <f t="shared" si="4"/>
        <v>0</v>
      </c>
      <c r="H29" s="21" t="s">
        <v>40</v>
      </c>
      <c r="I29" s="33"/>
    </row>
    <row r="30" spans="1:9" ht="15" x14ac:dyDescent="0.2">
      <c r="A30" s="36" t="s">
        <v>60</v>
      </c>
      <c r="B30" s="36" t="s">
        <v>61</v>
      </c>
      <c r="C30" s="36"/>
      <c r="D30" s="22">
        <v>19.82</v>
      </c>
      <c r="E30" s="20"/>
      <c r="F30" s="24">
        <f t="shared" si="3"/>
        <v>0</v>
      </c>
      <c r="G30" s="24">
        <f t="shared" si="4"/>
        <v>0</v>
      </c>
      <c r="H30" s="21" t="s">
        <v>40</v>
      </c>
      <c r="I30" s="33"/>
    </row>
    <row r="31" spans="1:9" ht="15" x14ac:dyDescent="0.2">
      <c r="A31" s="36" t="s">
        <v>62</v>
      </c>
      <c r="B31" s="36" t="s">
        <v>63</v>
      </c>
      <c r="C31" s="36"/>
      <c r="D31" s="22">
        <v>65.48</v>
      </c>
      <c r="E31" s="20"/>
      <c r="F31" s="24">
        <f t="shared" si="3"/>
        <v>0</v>
      </c>
      <c r="G31" s="24">
        <f t="shared" si="4"/>
        <v>0</v>
      </c>
      <c r="H31" s="21" t="s">
        <v>40</v>
      </c>
      <c r="I31" s="33"/>
    </row>
    <row r="32" spans="1:9" ht="15" x14ac:dyDescent="0.2">
      <c r="A32" s="36" t="s">
        <v>64</v>
      </c>
      <c r="B32" s="36" t="s">
        <v>65</v>
      </c>
      <c r="C32" s="36"/>
      <c r="D32" s="22">
        <v>77.55</v>
      </c>
      <c r="E32" s="20"/>
      <c r="F32" s="24">
        <f t="shared" si="3"/>
        <v>0</v>
      </c>
      <c r="G32" s="24">
        <f t="shared" si="4"/>
        <v>0</v>
      </c>
      <c r="H32" s="21" t="s">
        <v>40</v>
      </c>
      <c r="I32" s="33"/>
    </row>
    <row r="33" spans="1:9" ht="15" x14ac:dyDescent="0.2">
      <c r="A33" s="36" t="s">
        <v>66</v>
      </c>
      <c r="B33" s="36" t="s">
        <v>67</v>
      </c>
      <c r="C33" s="36"/>
      <c r="D33" s="22">
        <v>29.9</v>
      </c>
      <c r="E33" s="20"/>
      <c r="F33" s="24">
        <f t="shared" si="3"/>
        <v>0</v>
      </c>
      <c r="G33" s="24">
        <f t="shared" si="4"/>
        <v>0</v>
      </c>
      <c r="H33" s="21" t="s">
        <v>9</v>
      </c>
      <c r="I33" s="33"/>
    </row>
    <row r="34" spans="1:9" ht="15" x14ac:dyDescent="0.2">
      <c r="A34" s="36" t="s">
        <v>68</v>
      </c>
      <c r="B34" s="36" t="s">
        <v>69</v>
      </c>
      <c r="C34" s="36"/>
      <c r="D34" s="22">
        <v>59</v>
      </c>
      <c r="E34" s="20"/>
      <c r="F34" s="24">
        <f t="shared" si="3"/>
        <v>0</v>
      </c>
      <c r="G34" s="24">
        <f t="shared" si="4"/>
        <v>0</v>
      </c>
      <c r="H34" s="21" t="s">
        <v>9</v>
      </c>
      <c r="I34" s="33"/>
    </row>
    <row r="35" spans="1:9" ht="15" x14ac:dyDescent="0.2">
      <c r="A35" s="36" t="s">
        <v>70</v>
      </c>
      <c r="B35" s="83" t="s">
        <v>71</v>
      </c>
      <c r="C35" s="36"/>
      <c r="D35">
        <v>121.41</v>
      </c>
      <c r="E35" s="20">
        <v>1</v>
      </c>
      <c r="F35" s="24">
        <f t="shared" si="3"/>
        <v>121.41</v>
      </c>
      <c r="G35" s="24">
        <f t="shared" si="4"/>
        <v>151.76249999999999</v>
      </c>
      <c r="H35" s="21" t="s">
        <v>40</v>
      </c>
      <c r="I35" s="33"/>
    </row>
    <row r="36" spans="1:9" ht="15" x14ac:dyDescent="0.2">
      <c r="A36" s="36" t="s">
        <v>72</v>
      </c>
      <c r="B36" s="36" t="s">
        <v>73</v>
      </c>
      <c r="C36" s="36"/>
      <c r="D36" s="22">
        <v>54.9</v>
      </c>
      <c r="E36" s="20"/>
      <c r="F36" s="24">
        <f t="shared" si="3"/>
        <v>0</v>
      </c>
      <c r="G36" s="24">
        <f t="shared" si="4"/>
        <v>0</v>
      </c>
      <c r="H36" s="21" t="s">
        <v>40</v>
      </c>
      <c r="I36" s="33"/>
    </row>
    <row r="37" spans="1:9" ht="15" x14ac:dyDescent="0.2">
      <c r="A37" s="36" t="s">
        <v>74</v>
      </c>
      <c r="B37" s="36" t="s">
        <v>75</v>
      </c>
      <c r="C37" s="36"/>
      <c r="D37" s="22">
        <v>54.9</v>
      </c>
      <c r="E37" s="20"/>
      <c r="F37" s="24">
        <f t="shared" si="3"/>
        <v>0</v>
      </c>
      <c r="G37" s="24">
        <f t="shared" si="4"/>
        <v>0</v>
      </c>
      <c r="H37" s="21" t="s">
        <v>40</v>
      </c>
      <c r="I37" s="33"/>
    </row>
    <row r="38" spans="1:9" ht="15" x14ac:dyDescent="0.2">
      <c r="A38" s="36" t="s">
        <v>76</v>
      </c>
      <c r="B38" s="36" t="s">
        <v>77</v>
      </c>
      <c r="C38" s="36"/>
      <c r="D38" s="22">
        <v>9.89</v>
      </c>
      <c r="E38" s="20"/>
      <c r="F38" s="24">
        <f t="shared" si="3"/>
        <v>0</v>
      </c>
      <c r="G38" s="24">
        <f t="shared" si="4"/>
        <v>0</v>
      </c>
      <c r="H38" s="21" t="s">
        <v>40</v>
      </c>
      <c r="I38" s="33"/>
    </row>
    <row r="39" spans="1:9" ht="15" x14ac:dyDescent="0.2">
      <c r="A39" s="36" t="s">
        <v>78</v>
      </c>
      <c r="B39" s="36" t="s">
        <v>79</v>
      </c>
      <c r="C39" s="36"/>
      <c r="D39" s="22">
        <v>113.74</v>
      </c>
      <c r="E39" s="20"/>
      <c r="F39" s="24">
        <f t="shared" si="3"/>
        <v>0</v>
      </c>
      <c r="G39" s="24">
        <f t="shared" si="4"/>
        <v>0</v>
      </c>
      <c r="H39" s="21" t="s">
        <v>40</v>
      </c>
      <c r="I39" s="33"/>
    </row>
    <row r="40" spans="1:9" ht="15" x14ac:dyDescent="0.2">
      <c r="A40" s="36" t="s">
        <v>80</v>
      </c>
      <c r="B40" s="36" t="s">
        <v>81</v>
      </c>
      <c r="C40" s="36"/>
      <c r="D40" s="22">
        <v>3.29</v>
      </c>
      <c r="E40" s="20"/>
      <c r="F40" s="24">
        <f t="shared" si="3"/>
        <v>0</v>
      </c>
      <c r="G40" s="24">
        <f t="shared" si="4"/>
        <v>0</v>
      </c>
      <c r="H40" s="21" t="s">
        <v>40</v>
      </c>
      <c r="I40" s="33"/>
    </row>
    <row r="41" spans="1:9" ht="15" x14ac:dyDescent="0.2">
      <c r="A41" s="18" t="s">
        <v>0</v>
      </c>
      <c r="B41" s="18" t="s">
        <v>1</v>
      </c>
      <c r="C41" s="18" t="s">
        <v>2</v>
      </c>
      <c r="D41" s="18" t="s">
        <v>3</v>
      </c>
      <c r="E41" s="19" t="s">
        <v>163</v>
      </c>
      <c r="F41" s="19" t="s">
        <v>164</v>
      </c>
      <c r="G41" s="19" t="s">
        <v>4</v>
      </c>
      <c r="H41" s="19" t="s">
        <v>5</v>
      </c>
      <c r="I41" s="32" t="s">
        <v>186</v>
      </c>
    </row>
    <row r="42" spans="1:9" ht="15" x14ac:dyDescent="0.2">
      <c r="A42" s="36" t="s">
        <v>82</v>
      </c>
      <c r="B42" s="36" t="s">
        <v>83</v>
      </c>
      <c r="C42" s="36"/>
      <c r="D42" s="22">
        <v>730</v>
      </c>
      <c r="E42" s="20"/>
      <c r="F42" s="24">
        <f>SUM(D42*E42)</f>
        <v>0</v>
      </c>
      <c r="G42" s="24">
        <f>SUM(F42*1.25)</f>
        <v>0</v>
      </c>
      <c r="H42" s="21" t="s">
        <v>40</v>
      </c>
      <c r="I42" s="33"/>
    </row>
    <row r="43" spans="1:9" ht="15" x14ac:dyDescent="0.2">
      <c r="A43" s="18" t="s">
        <v>0</v>
      </c>
      <c r="B43" s="18" t="s">
        <v>1</v>
      </c>
      <c r="C43" s="18" t="s">
        <v>2</v>
      </c>
      <c r="D43" s="18" t="s">
        <v>3</v>
      </c>
      <c r="E43" s="19" t="s">
        <v>163</v>
      </c>
      <c r="F43" s="19" t="s">
        <v>164</v>
      </c>
      <c r="G43" s="19" t="s">
        <v>4</v>
      </c>
      <c r="H43" s="19" t="s">
        <v>5</v>
      </c>
      <c r="I43" s="32" t="s">
        <v>186</v>
      </c>
    </row>
    <row r="44" spans="1:9" ht="15" x14ac:dyDescent="0.2">
      <c r="A44" s="41" t="s">
        <v>84</v>
      </c>
      <c r="B44" s="36" t="s">
        <v>85</v>
      </c>
      <c r="C44" s="23" t="s">
        <v>165</v>
      </c>
      <c r="D44" s="22">
        <v>312.76</v>
      </c>
      <c r="E44" s="20"/>
      <c r="F44" s="24">
        <f t="shared" ref="F44:F55" si="5">SUM(D44*E44)</f>
        <v>0</v>
      </c>
      <c r="G44" s="24">
        <f t="shared" ref="G44:G55" si="6">SUM(F44*1.25)</f>
        <v>0</v>
      </c>
      <c r="H44" s="21" t="s">
        <v>40</v>
      </c>
      <c r="I44" s="33" t="s">
        <v>86</v>
      </c>
    </row>
    <row r="45" spans="1:9" ht="15" x14ac:dyDescent="0.2">
      <c r="A45" s="36" t="s">
        <v>87</v>
      </c>
      <c r="B45" s="36" t="s">
        <v>88</v>
      </c>
      <c r="C45" s="23" t="s">
        <v>165</v>
      </c>
      <c r="D45" s="22">
        <v>100.52</v>
      </c>
      <c r="E45" s="20"/>
      <c r="F45" s="24">
        <f t="shared" si="5"/>
        <v>0</v>
      </c>
      <c r="G45" s="24">
        <f t="shared" si="6"/>
        <v>0</v>
      </c>
      <c r="H45" s="21" t="s">
        <v>40</v>
      </c>
      <c r="I45" s="33" t="s">
        <v>89</v>
      </c>
    </row>
    <row r="46" spans="1:9" ht="15" x14ac:dyDescent="0.2">
      <c r="A46" s="36" t="s">
        <v>90</v>
      </c>
      <c r="B46" s="36" t="s">
        <v>91</v>
      </c>
      <c r="C46" s="23" t="s">
        <v>165</v>
      </c>
      <c r="D46" s="22">
        <v>98.73</v>
      </c>
      <c r="E46" s="20"/>
      <c r="F46" s="24">
        <f t="shared" si="5"/>
        <v>0</v>
      </c>
      <c r="G46" s="24">
        <f t="shared" si="6"/>
        <v>0</v>
      </c>
      <c r="H46" s="21" t="s">
        <v>40</v>
      </c>
      <c r="I46" s="33" t="s">
        <v>89</v>
      </c>
    </row>
    <row r="47" spans="1:9" ht="15" x14ac:dyDescent="0.2">
      <c r="A47" s="36" t="s">
        <v>92</v>
      </c>
      <c r="B47" s="36" t="s">
        <v>93</v>
      </c>
      <c r="C47" s="23" t="s">
        <v>165</v>
      </c>
      <c r="D47" s="22">
        <v>67.099999999999994</v>
      </c>
      <c r="E47" s="20"/>
      <c r="F47" s="24">
        <f t="shared" si="5"/>
        <v>0</v>
      </c>
      <c r="G47" s="24">
        <f t="shared" si="6"/>
        <v>0</v>
      </c>
      <c r="H47" s="21" t="s">
        <v>40</v>
      </c>
      <c r="I47" s="33" t="s">
        <v>89</v>
      </c>
    </row>
    <row r="48" spans="1:9" ht="15" x14ac:dyDescent="0.2">
      <c r="A48" s="36" t="s">
        <v>94</v>
      </c>
      <c r="B48" s="36" t="s">
        <v>95</v>
      </c>
      <c r="C48" s="23" t="s">
        <v>165</v>
      </c>
      <c r="D48" s="22">
        <v>29.3</v>
      </c>
      <c r="E48" s="20"/>
      <c r="F48" s="24">
        <f t="shared" si="5"/>
        <v>0</v>
      </c>
      <c r="G48" s="24">
        <f t="shared" si="6"/>
        <v>0</v>
      </c>
      <c r="H48" s="21" t="s">
        <v>40</v>
      </c>
      <c r="I48" s="33" t="s">
        <v>96</v>
      </c>
    </row>
    <row r="49" spans="1:9" ht="15" x14ac:dyDescent="0.2">
      <c r="A49" s="36" t="s">
        <v>97</v>
      </c>
      <c r="B49" s="36" t="s">
        <v>98</v>
      </c>
      <c r="C49" s="23" t="s">
        <v>165</v>
      </c>
      <c r="D49" s="22">
        <v>75.37</v>
      </c>
      <c r="E49" s="20"/>
      <c r="F49" s="24">
        <f t="shared" si="5"/>
        <v>0</v>
      </c>
      <c r="G49" s="24">
        <f t="shared" si="6"/>
        <v>0</v>
      </c>
      <c r="H49" s="21" t="s">
        <v>40</v>
      </c>
      <c r="I49" s="33" t="s">
        <v>99</v>
      </c>
    </row>
    <row r="50" spans="1:9" ht="15" x14ac:dyDescent="0.2">
      <c r="A50" s="36" t="s">
        <v>100</v>
      </c>
      <c r="B50" s="36" t="s">
        <v>101</v>
      </c>
      <c r="C50" s="23" t="s">
        <v>165</v>
      </c>
      <c r="D50" s="22">
        <v>3953</v>
      </c>
      <c r="E50" s="20"/>
      <c r="F50" s="24">
        <f t="shared" si="5"/>
        <v>0</v>
      </c>
      <c r="G50" s="24">
        <f t="shared" si="6"/>
        <v>0</v>
      </c>
      <c r="H50" s="21" t="s">
        <v>40</v>
      </c>
      <c r="I50" s="33" t="s">
        <v>99</v>
      </c>
    </row>
    <row r="51" spans="1:9" ht="15" x14ac:dyDescent="0.2">
      <c r="A51" s="36" t="s">
        <v>102</v>
      </c>
      <c r="B51" s="36" t="s">
        <v>103</v>
      </c>
      <c r="C51" s="23" t="s">
        <v>165</v>
      </c>
      <c r="D51" s="22">
        <v>2666.6</v>
      </c>
      <c r="E51" s="20"/>
      <c r="F51" s="24">
        <f t="shared" si="5"/>
        <v>0</v>
      </c>
      <c r="G51" s="24">
        <f t="shared" si="6"/>
        <v>0</v>
      </c>
      <c r="H51" s="26" t="s">
        <v>40</v>
      </c>
      <c r="I51" s="33" t="s">
        <v>99</v>
      </c>
    </row>
    <row r="52" spans="1:9" ht="15" x14ac:dyDescent="0.2">
      <c r="A52" s="36" t="s">
        <v>104</v>
      </c>
      <c r="B52" s="36" t="s">
        <v>105</v>
      </c>
      <c r="C52" s="23" t="s">
        <v>165</v>
      </c>
      <c r="D52" s="22">
        <v>287.49</v>
      </c>
      <c r="E52" s="20"/>
      <c r="F52" s="24">
        <f t="shared" si="5"/>
        <v>0</v>
      </c>
      <c r="G52" s="24">
        <f t="shared" si="6"/>
        <v>0</v>
      </c>
      <c r="H52" s="26" t="s">
        <v>40</v>
      </c>
      <c r="I52" s="33" t="s">
        <v>99</v>
      </c>
    </row>
    <row r="53" spans="1:9" ht="15" x14ac:dyDescent="0.2">
      <c r="A53" s="36" t="s">
        <v>106</v>
      </c>
      <c r="B53" s="36" t="s">
        <v>107</v>
      </c>
      <c r="C53" s="23" t="s">
        <v>165</v>
      </c>
      <c r="D53" s="22">
        <v>32.9</v>
      </c>
      <c r="E53" s="20"/>
      <c r="F53" s="24">
        <f t="shared" si="5"/>
        <v>0</v>
      </c>
      <c r="G53" s="24">
        <f t="shared" si="6"/>
        <v>0</v>
      </c>
      <c r="H53" s="26" t="s">
        <v>40</v>
      </c>
      <c r="I53" s="33" t="s">
        <v>99</v>
      </c>
    </row>
    <row r="54" spans="1:9" ht="15" x14ac:dyDescent="0.2">
      <c r="A54" s="36" t="s">
        <v>108</v>
      </c>
      <c r="B54" s="36" t="s">
        <v>109</v>
      </c>
      <c r="C54" s="23" t="s">
        <v>165</v>
      </c>
      <c r="D54" s="22">
        <v>161.29</v>
      </c>
      <c r="E54" s="20"/>
      <c r="F54" s="24">
        <f t="shared" si="5"/>
        <v>0</v>
      </c>
      <c r="G54" s="24">
        <f t="shared" si="6"/>
        <v>0</v>
      </c>
      <c r="H54" s="26" t="s">
        <v>40</v>
      </c>
      <c r="I54" s="33" t="s">
        <v>99</v>
      </c>
    </row>
    <row r="55" spans="1:9" ht="15" x14ac:dyDescent="0.2">
      <c r="A55" s="36" t="s">
        <v>110</v>
      </c>
      <c r="B55" s="36">
        <v>2778057</v>
      </c>
      <c r="C55" s="23" t="s">
        <v>165</v>
      </c>
      <c r="D55" s="22">
        <v>1218</v>
      </c>
      <c r="E55" s="20"/>
      <c r="F55" s="24">
        <f t="shared" si="5"/>
        <v>0</v>
      </c>
      <c r="G55" s="24">
        <f t="shared" si="6"/>
        <v>0</v>
      </c>
      <c r="H55" s="26" t="s">
        <v>40</v>
      </c>
      <c r="I55" s="33" t="s">
        <v>111</v>
      </c>
    </row>
    <row r="56" spans="1:9" ht="15" x14ac:dyDescent="0.2">
      <c r="A56" s="18" t="s">
        <v>0</v>
      </c>
      <c r="B56" s="18" t="s">
        <v>1</v>
      </c>
      <c r="C56" s="18" t="s">
        <v>2</v>
      </c>
      <c r="D56" s="18" t="s">
        <v>3</v>
      </c>
      <c r="E56" s="19" t="s">
        <v>163</v>
      </c>
      <c r="F56" s="19" t="s">
        <v>164</v>
      </c>
      <c r="G56" s="19" t="s">
        <v>4</v>
      </c>
      <c r="H56" s="19" t="s">
        <v>5</v>
      </c>
      <c r="I56" s="32" t="s">
        <v>186</v>
      </c>
    </row>
    <row r="57" spans="1:9" ht="15" x14ac:dyDescent="0.2">
      <c r="A57" s="36" t="s">
        <v>112</v>
      </c>
      <c r="B57" s="36" t="s">
        <v>113</v>
      </c>
      <c r="C57" s="36"/>
      <c r="D57" s="22">
        <v>111</v>
      </c>
      <c r="E57" s="20"/>
      <c r="F57" s="24">
        <f>SUM(D57*E57)</f>
        <v>0</v>
      </c>
      <c r="G57" s="24">
        <f t="shared" ref="G57:G61" si="7">SUM(F57*1.25)</f>
        <v>0</v>
      </c>
      <c r="H57" s="21" t="s">
        <v>40</v>
      </c>
      <c r="I57" s="33" t="s">
        <v>99</v>
      </c>
    </row>
    <row r="58" spans="1:9" ht="15" x14ac:dyDescent="0.2">
      <c r="A58" s="36" t="s">
        <v>112</v>
      </c>
      <c r="B58" s="36" t="s">
        <v>114</v>
      </c>
      <c r="C58" s="36"/>
      <c r="D58" s="22">
        <v>121</v>
      </c>
      <c r="E58" s="20"/>
      <c r="F58" s="24">
        <f>SUM(D58*E58)</f>
        <v>0</v>
      </c>
      <c r="G58" s="24">
        <f t="shared" si="7"/>
        <v>0</v>
      </c>
      <c r="H58" s="21" t="s">
        <v>40</v>
      </c>
      <c r="I58" s="33" t="s">
        <v>99</v>
      </c>
    </row>
    <row r="59" spans="1:9" ht="15" x14ac:dyDescent="0.2">
      <c r="A59" s="36" t="s">
        <v>115</v>
      </c>
      <c r="B59" s="36" t="s">
        <v>116</v>
      </c>
      <c r="C59" s="36"/>
      <c r="D59" s="22">
        <v>156.97</v>
      </c>
      <c r="E59" s="20"/>
      <c r="F59" s="24">
        <f>SUM(D59*E59)</f>
        <v>0</v>
      </c>
      <c r="G59" s="24">
        <f t="shared" si="7"/>
        <v>0</v>
      </c>
      <c r="H59" s="21" t="s">
        <v>40</v>
      </c>
      <c r="I59" s="33" t="s">
        <v>99</v>
      </c>
    </row>
    <row r="60" spans="1:9" ht="15" x14ac:dyDescent="0.2">
      <c r="A60" s="36" t="s">
        <v>117</v>
      </c>
      <c r="B60" s="36" t="s">
        <v>118</v>
      </c>
      <c r="C60" s="46" t="s">
        <v>119</v>
      </c>
      <c r="D60" s="22">
        <v>200</v>
      </c>
      <c r="E60" s="20"/>
      <c r="F60" s="24">
        <f>SUM(D60*E60)</f>
        <v>0</v>
      </c>
      <c r="G60" s="24">
        <f t="shared" si="7"/>
        <v>0</v>
      </c>
      <c r="H60" s="21" t="s">
        <v>40</v>
      </c>
      <c r="I60" s="33" t="s">
        <v>89</v>
      </c>
    </row>
    <row r="61" spans="1:9" ht="15" x14ac:dyDescent="0.2">
      <c r="A61" s="36" t="s">
        <v>120</v>
      </c>
      <c r="B61" s="36" t="s">
        <v>121</v>
      </c>
      <c r="C61" s="36"/>
      <c r="D61" s="22">
        <v>160</v>
      </c>
      <c r="E61" s="20"/>
      <c r="F61" s="24">
        <f>SUM(D61*E61)</f>
        <v>0</v>
      </c>
      <c r="G61" s="24">
        <f t="shared" si="7"/>
        <v>0</v>
      </c>
      <c r="H61" s="21" t="s">
        <v>40</v>
      </c>
      <c r="I61" s="33" t="s">
        <v>99</v>
      </c>
    </row>
    <row r="62" spans="1:9" ht="15" x14ac:dyDescent="0.2">
      <c r="A62" s="18" t="s">
        <v>0</v>
      </c>
      <c r="B62" s="18" t="s">
        <v>1</v>
      </c>
      <c r="C62" s="18" t="s">
        <v>2</v>
      </c>
      <c r="D62" s="18" t="s">
        <v>3</v>
      </c>
      <c r="E62" s="19" t="s">
        <v>163</v>
      </c>
      <c r="F62" s="19" t="s">
        <v>164</v>
      </c>
      <c r="G62" s="19" t="s">
        <v>4</v>
      </c>
      <c r="H62" s="19" t="s">
        <v>5</v>
      </c>
      <c r="I62" s="32" t="s">
        <v>186</v>
      </c>
    </row>
    <row r="63" spans="1:9" ht="15" x14ac:dyDescent="0.2">
      <c r="A63" s="36" t="s">
        <v>122</v>
      </c>
      <c r="B63" s="37" t="s">
        <v>123</v>
      </c>
      <c r="C63" s="36"/>
      <c r="D63" s="22">
        <v>1430.32</v>
      </c>
      <c r="E63" s="20"/>
      <c r="F63" s="24">
        <f>SUM(D63*E63)</f>
        <v>0</v>
      </c>
      <c r="G63" s="24">
        <f t="shared" ref="G63:G67" si="8">SUM(F63*1.25)</f>
        <v>0</v>
      </c>
      <c r="H63" s="21" t="s">
        <v>40</v>
      </c>
      <c r="I63" s="33" t="s">
        <v>99</v>
      </c>
    </row>
    <row r="64" spans="1:9" ht="15" x14ac:dyDescent="0.2">
      <c r="A64" s="36" t="s">
        <v>124</v>
      </c>
      <c r="B64" s="36" t="s">
        <v>125</v>
      </c>
      <c r="C64" s="36"/>
      <c r="D64" s="22">
        <v>1087.5899999999999</v>
      </c>
      <c r="E64" s="20"/>
      <c r="F64" s="24">
        <f>SUM(D64*E64)</f>
        <v>0</v>
      </c>
      <c r="G64" s="24">
        <f t="shared" si="8"/>
        <v>0</v>
      </c>
      <c r="H64" s="21" t="s">
        <v>40</v>
      </c>
      <c r="I64" s="33" t="s">
        <v>89</v>
      </c>
    </row>
    <row r="65" spans="1:9" ht="15" x14ac:dyDescent="0.2">
      <c r="A65" s="36" t="s">
        <v>126</v>
      </c>
      <c r="B65" s="36" t="s">
        <v>127</v>
      </c>
      <c r="C65" s="36"/>
      <c r="D65" s="22">
        <v>632.87</v>
      </c>
      <c r="E65" s="20"/>
      <c r="F65" s="24">
        <f>SUM(D65*E65)</f>
        <v>0</v>
      </c>
      <c r="G65" s="24">
        <f t="shared" si="8"/>
        <v>0</v>
      </c>
      <c r="H65" s="21" t="s">
        <v>40</v>
      </c>
      <c r="I65" s="33" t="s">
        <v>99</v>
      </c>
    </row>
    <row r="66" spans="1:9" ht="15" x14ac:dyDescent="0.2">
      <c r="A66" s="37" t="s">
        <v>128</v>
      </c>
      <c r="B66" s="36" t="s">
        <v>129</v>
      </c>
      <c r="C66" s="36"/>
      <c r="D66" s="22">
        <v>583.41999999999996</v>
      </c>
      <c r="E66" s="20"/>
      <c r="F66" s="24">
        <f>SUM(D66*E66)</f>
        <v>0</v>
      </c>
      <c r="G66" s="24">
        <f t="shared" si="8"/>
        <v>0</v>
      </c>
      <c r="H66" s="21" t="s">
        <v>40</v>
      </c>
      <c r="I66" s="33" t="s">
        <v>99</v>
      </c>
    </row>
    <row r="67" spans="1:9" ht="15" x14ac:dyDescent="0.2">
      <c r="A67" s="36" t="s">
        <v>130</v>
      </c>
      <c r="B67" s="36" t="s">
        <v>131</v>
      </c>
      <c r="C67" s="36"/>
      <c r="D67" s="22">
        <v>97.09</v>
      </c>
      <c r="E67" s="20"/>
      <c r="F67" s="24">
        <f>SUM(D67*E67)</f>
        <v>0</v>
      </c>
      <c r="G67" s="24">
        <f t="shared" si="8"/>
        <v>0</v>
      </c>
      <c r="H67" s="21" t="s">
        <v>40</v>
      </c>
      <c r="I67" s="34" t="s">
        <v>99</v>
      </c>
    </row>
    <row r="68" spans="1:9" ht="15" x14ac:dyDescent="0.2">
      <c r="A68" s="18" t="s">
        <v>0</v>
      </c>
      <c r="B68" s="18" t="s">
        <v>1</v>
      </c>
      <c r="C68" s="18" t="s">
        <v>2</v>
      </c>
      <c r="D68" s="18" t="s">
        <v>3</v>
      </c>
      <c r="E68" s="19" t="s">
        <v>163</v>
      </c>
      <c r="F68" s="19" t="s">
        <v>164</v>
      </c>
      <c r="G68" s="19" t="s">
        <v>4</v>
      </c>
      <c r="H68" s="19" t="s">
        <v>5</v>
      </c>
      <c r="I68" s="32" t="s">
        <v>186</v>
      </c>
    </row>
    <row r="69" spans="1:9" ht="15" x14ac:dyDescent="0.2">
      <c r="A69" s="36" t="s">
        <v>132</v>
      </c>
      <c r="B69" s="36" t="s">
        <v>133</v>
      </c>
      <c r="C69" s="36"/>
      <c r="D69" s="22">
        <v>89.17</v>
      </c>
      <c r="E69" s="20">
        <v>1</v>
      </c>
      <c r="F69" s="24">
        <f t="shared" ref="F69:F77" si="9">SUM(D69*E69)</f>
        <v>89.17</v>
      </c>
      <c r="G69" s="24">
        <f t="shared" ref="G69:G75" si="10">SUM(F69*1.25)</f>
        <v>111.46250000000001</v>
      </c>
      <c r="H69" s="21" t="s">
        <v>40</v>
      </c>
      <c r="I69" s="33"/>
    </row>
    <row r="70" spans="1:9" ht="15" x14ac:dyDescent="0.2">
      <c r="A70" s="36" t="s">
        <v>134</v>
      </c>
      <c r="B70" s="36" t="s">
        <v>133</v>
      </c>
      <c r="C70" s="36"/>
      <c r="D70" s="22">
        <v>86</v>
      </c>
      <c r="E70" s="20"/>
      <c r="F70" s="24">
        <f t="shared" si="9"/>
        <v>0</v>
      </c>
      <c r="G70" s="24">
        <f t="shared" si="10"/>
        <v>0</v>
      </c>
      <c r="H70" s="21" t="s">
        <v>40</v>
      </c>
      <c r="I70" s="33"/>
    </row>
    <row r="71" spans="1:9" ht="15" x14ac:dyDescent="0.2">
      <c r="A71" s="36" t="s">
        <v>135</v>
      </c>
      <c r="B71" s="36" t="s">
        <v>136</v>
      </c>
      <c r="C71" s="36"/>
      <c r="D71" s="22">
        <v>241.26</v>
      </c>
      <c r="E71" s="20"/>
      <c r="F71" s="24">
        <f t="shared" si="9"/>
        <v>0</v>
      </c>
      <c r="G71" s="24">
        <f t="shared" si="10"/>
        <v>0</v>
      </c>
      <c r="H71" s="21" t="s">
        <v>40</v>
      </c>
      <c r="I71" s="33"/>
    </row>
    <row r="72" spans="1:9" ht="15" x14ac:dyDescent="0.2">
      <c r="A72" s="36" t="s">
        <v>137</v>
      </c>
      <c r="B72" s="36" t="s">
        <v>138</v>
      </c>
      <c r="C72" s="36"/>
      <c r="D72" s="22">
        <v>244.71</v>
      </c>
      <c r="E72" s="20"/>
      <c r="F72" s="24">
        <f t="shared" si="9"/>
        <v>0</v>
      </c>
      <c r="G72" s="24">
        <f t="shared" si="10"/>
        <v>0</v>
      </c>
      <c r="H72" s="21" t="s">
        <v>40</v>
      </c>
      <c r="I72" s="34" t="s">
        <v>187</v>
      </c>
    </row>
    <row r="73" spans="1:9" ht="15" x14ac:dyDescent="0.2">
      <c r="A73" s="36" t="s">
        <v>140</v>
      </c>
      <c r="B73" s="36" t="s">
        <v>141</v>
      </c>
      <c r="C73" s="36"/>
      <c r="D73" s="22">
        <v>11.36</v>
      </c>
      <c r="E73" s="20"/>
      <c r="F73" s="24">
        <f t="shared" si="9"/>
        <v>0</v>
      </c>
      <c r="G73" s="24">
        <f t="shared" si="10"/>
        <v>0</v>
      </c>
      <c r="H73" s="21" t="s">
        <v>40</v>
      </c>
      <c r="I73" s="33"/>
    </row>
    <row r="74" spans="1:9" ht="15" x14ac:dyDescent="0.2">
      <c r="A74" s="36" t="s">
        <v>142</v>
      </c>
      <c r="B74" s="36" t="s">
        <v>143</v>
      </c>
      <c r="C74" s="36"/>
      <c r="D74" s="22">
        <v>13.48</v>
      </c>
      <c r="E74" s="20"/>
      <c r="F74" s="24">
        <f t="shared" si="9"/>
        <v>0</v>
      </c>
      <c r="G74" s="24">
        <f t="shared" si="10"/>
        <v>0</v>
      </c>
      <c r="H74" s="21" t="s">
        <v>40</v>
      </c>
      <c r="I74" s="33"/>
    </row>
    <row r="75" spans="1:9" ht="15" x14ac:dyDescent="0.2">
      <c r="A75" s="36" t="s">
        <v>144</v>
      </c>
      <c r="B75" s="36" t="s">
        <v>145</v>
      </c>
      <c r="C75" s="36"/>
      <c r="D75" s="22">
        <v>34.47</v>
      </c>
      <c r="E75" s="20"/>
      <c r="F75" s="24">
        <f t="shared" si="9"/>
        <v>0</v>
      </c>
      <c r="G75" s="24">
        <f t="shared" si="10"/>
        <v>0</v>
      </c>
      <c r="H75" s="21" t="s">
        <v>40</v>
      </c>
      <c r="I75" s="33"/>
    </row>
    <row r="76" spans="1:9" ht="15" x14ac:dyDescent="0.2">
      <c r="A76" s="18" t="s">
        <v>0</v>
      </c>
      <c r="B76" s="18" t="s">
        <v>1</v>
      </c>
      <c r="C76" s="18" t="s">
        <v>2</v>
      </c>
      <c r="D76" s="18" t="s">
        <v>3</v>
      </c>
      <c r="E76" s="19" t="s">
        <v>163</v>
      </c>
      <c r="F76" s="19" t="s">
        <v>164</v>
      </c>
      <c r="G76" s="19" t="s">
        <v>4</v>
      </c>
      <c r="H76" s="19" t="s">
        <v>5</v>
      </c>
      <c r="I76" s="32" t="s">
        <v>186</v>
      </c>
    </row>
    <row r="77" spans="1:9" ht="15" x14ac:dyDescent="0.2">
      <c r="A77" s="48" t="s">
        <v>189</v>
      </c>
      <c r="B77" s="49"/>
      <c r="C77" s="47" t="s">
        <v>190</v>
      </c>
      <c r="D77" s="22">
        <v>552.6</v>
      </c>
      <c r="E77" s="50"/>
      <c r="F77" s="24">
        <f t="shared" si="9"/>
        <v>0</v>
      </c>
      <c r="G77" s="24">
        <f t="shared" ref="G77:G83" si="11">SUM(F77*1.25)</f>
        <v>0</v>
      </c>
      <c r="H77" s="21" t="s">
        <v>40</v>
      </c>
      <c r="I77" s="51"/>
    </row>
    <row r="78" spans="1:9" ht="15" x14ac:dyDescent="0.2">
      <c r="A78" s="36" t="s">
        <v>146</v>
      </c>
      <c r="B78" s="36" t="s">
        <v>147</v>
      </c>
      <c r="C78" s="47" t="s">
        <v>188</v>
      </c>
      <c r="D78" s="22">
        <v>368.39</v>
      </c>
      <c r="E78" s="20"/>
      <c r="F78" s="24">
        <f t="shared" ref="F78:F83" si="12">SUM(D78*E78)</f>
        <v>0</v>
      </c>
      <c r="G78" s="24">
        <f t="shared" si="11"/>
        <v>0</v>
      </c>
      <c r="H78" s="21" t="s">
        <v>40</v>
      </c>
      <c r="I78" s="33"/>
    </row>
    <row r="79" spans="1:9" ht="15" x14ac:dyDescent="0.2">
      <c r="A79" s="36" t="s">
        <v>148</v>
      </c>
      <c r="B79" s="36" t="s">
        <v>149</v>
      </c>
      <c r="C79" s="47" t="s">
        <v>188</v>
      </c>
      <c r="D79" s="22">
        <v>211.46</v>
      </c>
      <c r="E79" s="20"/>
      <c r="F79" s="24">
        <f t="shared" si="12"/>
        <v>0</v>
      </c>
      <c r="G79" s="24">
        <f t="shared" si="11"/>
        <v>0</v>
      </c>
      <c r="H79" s="21" t="s">
        <v>40</v>
      </c>
      <c r="I79" s="33"/>
    </row>
    <row r="80" spans="1:9" ht="15" x14ac:dyDescent="0.2">
      <c r="A80" s="36" t="s">
        <v>150</v>
      </c>
      <c r="B80" s="36" t="s">
        <v>151</v>
      </c>
      <c r="C80" s="36"/>
      <c r="D80" s="22">
        <v>176.25</v>
      </c>
      <c r="E80" s="20"/>
      <c r="F80" s="24">
        <f t="shared" si="12"/>
        <v>0</v>
      </c>
      <c r="G80" s="24">
        <f t="shared" si="11"/>
        <v>0</v>
      </c>
      <c r="H80" s="21" t="s">
        <v>40</v>
      </c>
      <c r="I80" s="33"/>
    </row>
    <row r="81" spans="1:9" ht="15" x14ac:dyDescent="0.2">
      <c r="A81" s="36" t="s">
        <v>152</v>
      </c>
      <c r="B81" s="36" t="s">
        <v>153</v>
      </c>
      <c r="C81" s="36"/>
      <c r="D81" s="22">
        <v>189</v>
      </c>
      <c r="E81" s="20"/>
      <c r="F81" s="24">
        <f t="shared" si="12"/>
        <v>0</v>
      </c>
      <c r="G81" s="24">
        <f t="shared" si="11"/>
        <v>0</v>
      </c>
      <c r="H81" s="21" t="s">
        <v>40</v>
      </c>
      <c r="I81" s="33"/>
    </row>
    <row r="82" spans="1:9" ht="15" x14ac:dyDescent="0.2">
      <c r="A82" s="36" t="s">
        <v>154</v>
      </c>
      <c r="B82" s="36" t="s">
        <v>155</v>
      </c>
      <c r="C82" s="36"/>
      <c r="D82" s="22">
        <v>92.19</v>
      </c>
      <c r="E82" s="20"/>
      <c r="F82" s="24">
        <f t="shared" si="12"/>
        <v>0</v>
      </c>
      <c r="G82" s="24">
        <f t="shared" si="11"/>
        <v>0</v>
      </c>
      <c r="H82" s="21" t="s">
        <v>40</v>
      </c>
      <c r="I82" s="33"/>
    </row>
    <row r="83" spans="1:9" ht="15" x14ac:dyDescent="0.2">
      <c r="A83" s="36" t="s">
        <v>156</v>
      </c>
      <c r="B83" s="36" t="s">
        <v>157</v>
      </c>
      <c r="C83" s="36"/>
      <c r="D83" s="22">
        <v>119.67</v>
      </c>
      <c r="E83" s="20"/>
      <c r="F83" s="24">
        <f t="shared" si="12"/>
        <v>0</v>
      </c>
      <c r="G83" s="24">
        <f t="shared" si="11"/>
        <v>0</v>
      </c>
      <c r="H83" s="21" t="s">
        <v>40</v>
      </c>
      <c r="I83" s="33"/>
    </row>
    <row r="84" spans="1:9" ht="15" x14ac:dyDescent="0.2">
      <c r="A84" s="18" t="s">
        <v>0</v>
      </c>
      <c r="B84" s="18" t="s">
        <v>1</v>
      </c>
      <c r="C84" s="18" t="s">
        <v>2</v>
      </c>
      <c r="D84" s="18" t="s">
        <v>3</v>
      </c>
      <c r="E84" s="19" t="s">
        <v>163</v>
      </c>
      <c r="F84" s="19" t="s">
        <v>164</v>
      </c>
      <c r="G84" s="19" t="s">
        <v>4</v>
      </c>
      <c r="H84" s="19" t="s">
        <v>5</v>
      </c>
      <c r="I84" s="32" t="s">
        <v>186</v>
      </c>
    </row>
    <row r="85" spans="1:9" ht="15" x14ac:dyDescent="0.2">
      <c r="A85" s="36" t="s">
        <v>158</v>
      </c>
      <c r="B85" s="36"/>
      <c r="C85" s="36" t="s">
        <v>159</v>
      </c>
      <c r="D85" s="22">
        <v>540.16</v>
      </c>
      <c r="E85" s="20"/>
      <c r="F85" s="24">
        <f t="shared" ref="F85:F90" si="13">SUM(D85*E85)</f>
        <v>0</v>
      </c>
      <c r="G85" s="24">
        <f t="shared" ref="G85:G90" si="14">SUM(F85*1.25)</f>
        <v>0</v>
      </c>
      <c r="H85" s="21" t="s">
        <v>40</v>
      </c>
      <c r="I85" s="33"/>
    </row>
    <row r="86" spans="1:9" ht="15" x14ac:dyDescent="0.2">
      <c r="A86" s="36" t="s">
        <v>158</v>
      </c>
      <c r="B86" s="36"/>
      <c r="C86" s="36" t="s">
        <v>160</v>
      </c>
      <c r="D86" s="22">
        <v>2060</v>
      </c>
      <c r="E86" s="20"/>
      <c r="F86" s="24">
        <f t="shared" si="13"/>
        <v>0</v>
      </c>
      <c r="G86" s="24">
        <f t="shared" si="14"/>
        <v>0</v>
      </c>
      <c r="H86" s="21" t="s">
        <v>40</v>
      </c>
      <c r="I86" s="33"/>
    </row>
    <row r="87" spans="1:9" ht="15" x14ac:dyDescent="0.2">
      <c r="A87" s="36" t="s">
        <v>161</v>
      </c>
      <c r="B87" s="36"/>
      <c r="C87" s="36" t="s">
        <v>159</v>
      </c>
      <c r="D87" s="22">
        <v>597</v>
      </c>
      <c r="E87" s="20"/>
      <c r="F87" s="24">
        <f t="shared" si="13"/>
        <v>0</v>
      </c>
      <c r="G87" s="24">
        <f t="shared" si="14"/>
        <v>0</v>
      </c>
      <c r="H87" s="21" t="s">
        <v>40</v>
      </c>
      <c r="I87" s="33"/>
    </row>
    <row r="88" spans="1:9" ht="15" x14ac:dyDescent="0.2">
      <c r="A88" s="36" t="s">
        <v>161</v>
      </c>
      <c r="B88" s="36"/>
      <c r="C88" s="36" t="s">
        <v>160</v>
      </c>
      <c r="D88" s="22">
        <v>2510</v>
      </c>
      <c r="E88" s="20"/>
      <c r="F88" s="24">
        <f t="shared" si="13"/>
        <v>0</v>
      </c>
      <c r="G88" s="24">
        <f t="shared" si="14"/>
        <v>0</v>
      </c>
      <c r="H88" s="21" t="s">
        <v>40</v>
      </c>
      <c r="I88" s="33"/>
    </row>
    <row r="89" spans="1:9" ht="15" x14ac:dyDescent="0.2">
      <c r="A89" s="36" t="s">
        <v>162</v>
      </c>
      <c r="B89" s="36"/>
      <c r="C89" s="36" t="s">
        <v>159</v>
      </c>
      <c r="D89" s="22">
        <v>540.16</v>
      </c>
      <c r="E89" s="20"/>
      <c r="F89" s="24">
        <f t="shared" si="13"/>
        <v>0</v>
      </c>
      <c r="G89" s="24">
        <f t="shared" si="14"/>
        <v>0</v>
      </c>
      <c r="H89" s="21" t="s">
        <v>40</v>
      </c>
      <c r="I89" s="33"/>
    </row>
    <row r="90" spans="1:9" ht="15" x14ac:dyDescent="0.2">
      <c r="A90" s="36" t="s">
        <v>162</v>
      </c>
      <c r="B90" s="36"/>
      <c r="C90" s="36" t="s">
        <v>160</v>
      </c>
      <c r="D90" s="22">
        <v>2940</v>
      </c>
      <c r="E90" s="20"/>
      <c r="F90" s="24">
        <f t="shared" si="13"/>
        <v>0</v>
      </c>
      <c r="G90" s="24">
        <f t="shared" si="14"/>
        <v>0</v>
      </c>
      <c r="H90" s="21" t="s">
        <v>40</v>
      </c>
      <c r="I90" s="33"/>
    </row>
    <row r="91" spans="1:9" ht="15" x14ac:dyDescent="0.2">
      <c r="A91" s="27" t="s">
        <v>175</v>
      </c>
      <c r="B91" s="28"/>
      <c r="C91" s="27" t="s">
        <v>176</v>
      </c>
      <c r="D91" s="27" t="s">
        <v>177</v>
      </c>
      <c r="E91" s="19" t="s">
        <v>163</v>
      </c>
      <c r="F91" s="27" t="s">
        <v>178</v>
      </c>
      <c r="G91" s="19" t="s">
        <v>4</v>
      </c>
      <c r="H91" s="19" t="s">
        <v>5</v>
      </c>
      <c r="I91" s="35"/>
    </row>
    <row r="92" spans="1:9" ht="15" x14ac:dyDescent="0.2">
      <c r="A92" s="42" t="s">
        <v>166</v>
      </c>
      <c r="B92" s="36"/>
      <c r="C92" s="43" t="s">
        <v>171</v>
      </c>
      <c r="D92" s="22">
        <v>1267</v>
      </c>
      <c r="E92" s="20"/>
      <c r="F92" s="24">
        <f>SUM(D92*E92)</f>
        <v>0</v>
      </c>
      <c r="G92" s="24">
        <f t="shared" ref="G92:G98" si="15">SUM(F92)</f>
        <v>0</v>
      </c>
      <c r="H92" s="21" t="s">
        <v>40</v>
      </c>
      <c r="I92" s="33"/>
    </row>
    <row r="93" spans="1:9" ht="15" x14ac:dyDescent="0.2">
      <c r="A93" s="42" t="s">
        <v>167</v>
      </c>
      <c r="B93" s="36"/>
      <c r="C93" s="44" t="s">
        <v>168</v>
      </c>
      <c r="D93" s="22">
        <v>650</v>
      </c>
      <c r="E93" s="20"/>
      <c r="F93" s="24">
        <f t="shared" ref="F93:F101" si="16">SUM(D93*E93)</f>
        <v>0</v>
      </c>
      <c r="G93" s="24">
        <f t="shared" si="15"/>
        <v>0</v>
      </c>
      <c r="H93" s="21" t="s">
        <v>40</v>
      </c>
      <c r="I93" s="33"/>
    </row>
    <row r="94" spans="1:9" ht="15" x14ac:dyDescent="0.2">
      <c r="A94" s="99" t="s">
        <v>169</v>
      </c>
      <c r="B94" s="36"/>
      <c r="C94" s="44" t="s">
        <v>170</v>
      </c>
      <c r="D94" s="22">
        <v>11</v>
      </c>
      <c r="E94" s="20"/>
      <c r="F94" s="24">
        <f t="shared" si="16"/>
        <v>0</v>
      </c>
      <c r="G94" s="24">
        <f t="shared" si="15"/>
        <v>0</v>
      </c>
      <c r="H94" s="21" t="s">
        <v>40</v>
      </c>
      <c r="I94" s="33"/>
    </row>
    <row r="95" spans="1:9" ht="15" x14ac:dyDescent="0.2">
      <c r="A95" s="44" t="s">
        <v>172</v>
      </c>
      <c r="B95" s="36"/>
      <c r="C95" s="44" t="s">
        <v>173</v>
      </c>
      <c r="D95" s="22">
        <v>595</v>
      </c>
      <c r="E95" s="20"/>
      <c r="F95" s="24">
        <f t="shared" si="16"/>
        <v>0</v>
      </c>
      <c r="G95" s="24">
        <f t="shared" si="15"/>
        <v>0</v>
      </c>
      <c r="H95" s="21" t="s">
        <v>40</v>
      </c>
      <c r="I95" s="33"/>
    </row>
    <row r="96" spans="1:9" ht="15" x14ac:dyDescent="0.2">
      <c r="A96" s="45" t="s">
        <v>174</v>
      </c>
      <c r="B96" s="36"/>
      <c r="C96" s="36" t="s">
        <v>179</v>
      </c>
      <c r="D96" s="22">
        <v>3801</v>
      </c>
      <c r="E96" s="20"/>
      <c r="F96" s="24">
        <f t="shared" si="16"/>
        <v>0</v>
      </c>
      <c r="G96" s="24">
        <f t="shared" si="15"/>
        <v>0</v>
      </c>
      <c r="H96" s="21" t="s">
        <v>40</v>
      </c>
      <c r="I96" s="33"/>
    </row>
    <row r="97" spans="1:9" ht="15" x14ac:dyDescent="0.2">
      <c r="A97" s="45" t="s">
        <v>180</v>
      </c>
      <c r="B97" s="36"/>
      <c r="C97" s="45" t="s">
        <v>184</v>
      </c>
      <c r="D97" s="22">
        <v>975</v>
      </c>
      <c r="E97" s="20"/>
      <c r="F97" s="24">
        <f t="shared" si="16"/>
        <v>0</v>
      </c>
      <c r="G97" s="24">
        <f t="shared" si="15"/>
        <v>0</v>
      </c>
      <c r="H97" s="21" t="s">
        <v>40</v>
      </c>
      <c r="I97" s="20"/>
    </row>
    <row r="98" spans="1:9" ht="15" x14ac:dyDescent="0.2">
      <c r="A98" s="45" t="s">
        <v>180</v>
      </c>
      <c r="B98" s="20"/>
      <c r="C98" s="45" t="s">
        <v>185</v>
      </c>
      <c r="D98" s="22">
        <v>975</v>
      </c>
      <c r="E98" s="20"/>
      <c r="F98" s="24">
        <f t="shared" si="16"/>
        <v>0</v>
      </c>
      <c r="G98" s="24">
        <f t="shared" si="15"/>
        <v>0</v>
      </c>
      <c r="H98" s="21" t="s">
        <v>40</v>
      </c>
      <c r="I98" s="20"/>
    </row>
    <row r="99" spans="1:9" ht="15" x14ac:dyDescent="0.2">
      <c r="A99" s="47" t="s">
        <v>181</v>
      </c>
      <c r="B99" s="20"/>
      <c r="C99" s="20"/>
      <c r="D99" s="22">
        <v>585</v>
      </c>
      <c r="E99" s="20"/>
      <c r="F99" s="24">
        <f t="shared" si="16"/>
        <v>0</v>
      </c>
      <c r="G99" s="24">
        <f>SUM(F99+975)</f>
        <v>975</v>
      </c>
      <c r="H99" s="21" t="s">
        <v>40</v>
      </c>
      <c r="I99" s="20"/>
    </row>
    <row r="100" spans="1:9" ht="15" x14ac:dyDescent="0.2">
      <c r="A100" s="47" t="s">
        <v>182</v>
      </c>
      <c r="B100" s="20"/>
      <c r="C100" s="20"/>
      <c r="D100" s="22">
        <v>975</v>
      </c>
      <c r="E100" s="20">
        <v>1</v>
      </c>
      <c r="F100" s="24">
        <f t="shared" si="16"/>
        <v>975</v>
      </c>
      <c r="G100" s="24">
        <f>SUM(F100+975)</f>
        <v>1950</v>
      </c>
      <c r="H100" s="21" t="s">
        <v>40</v>
      </c>
      <c r="I100" s="20"/>
    </row>
    <row r="101" spans="1:9" ht="15" x14ac:dyDescent="0.2">
      <c r="A101" s="47" t="s">
        <v>183</v>
      </c>
      <c r="B101" s="20"/>
      <c r="C101" s="20"/>
      <c r="D101" s="22">
        <v>1950</v>
      </c>
      <c r="E101" s="20"/>
      <c r="F101" s="24">
        <f t="shared" si="16"/>
        <v>0</v>
      </c>
      <c r="G101" s="24">
        <f>SUM(F101+975)</f>
        <v>975</v>
      </c>
      <c r="H101" s="21" t="s">
        <v>40</v>
      </c>
      <c r="I101" s="20"/>
    </row>
    <row r="102" spans="1:9" x14ac:dyDescent="0.2">
      <c r="A102" s="89" t="s">
        <v>200</v>
      </c>
      <c r="B102" s="89" t="s">
        <v>201</v>
      </c>
      <c r="C102" s="89" t="s">
        <v>202</v>
      </c>
      <c r="D102" s="89" t="s">
        <v>203</v>
      </c>
      <c r="E102" s="89"/>
      <c r="F102" s="89" t="s">
        <v>178</v>
      </c>
      <c r="G102" s="89" t="s">
        <v>219</v>
      </c>
      <c r="H102" s="115" t="s">
        <v>204</v>
      </c>
      <c r="I102" s="116"/>
    </row>
    <row r="103" spans="1:9" x14ac:dyDescent="0.2">
      <c r="A103" s="47" t="s">
        <v>205</v>
      </c>
      <c r="B103" s="47" t="s">
        <v>206</v>
      </c>
      <c r="C103" s="47">
        <v>2.5</v>
      </c>
      <c r="D103" s="47">
        <v>975</v>
      </c>
      <c r="E103" s="47"/>
      <c r="F103" s="90">
        <v>2438</v>
      </c>
      <c r="G103" s="47"/>
      <c r="H103" s="113"/>
      <c r="I103" s="114"/>
    </row>
    <row r="104" spans="1:9" x14ac:dyDescent="0.2">
      <c r="A104" s="47"/>
      <c r="B104" s="47" t="s">
        <v>207</v>
      </c>
      <c r="C104" s="47">
        <v>2.5</v>
      </c>
      <c r="D104" s="47"/>
      <c r="E104" s="47"/>
      <c r="F104" s="90">
        <v>2438</v>
      </c>
      <c r="G104" s="47"/>
      <c r="H104" s="113"/>
      <c r="I104" s="114"/>
    </row>
    <row r="105" spans="1:9" x14ac:dyDescent="0.2">
      <c r="A105" s="47"/>
      <c r="B105" s="47" t="s">
        <v>208</v>
      </c>
      <c r="C105" s="47">
        <v>20</v>
      </c>
      <c r="D105" s="47"/>
      <c r="E105" s="47"/>
      <c r="F105" s="90">
        <v>19500</v>
      </c>
      <c r="G105" s="47"/>
      <c r="H105" s="113"/>
      <c r="I105" s="114"/>
    </row>
    <row r="106" spans="1:9" x14ac:dyDescent="0.2">
      <c r="A106" s="47"/>
      <c r="B106" s="47" t="s">
        <v>209</v>
      </c>
      <c r="C106" s="47">
        <v>30</v>
      </c>
      <c r="D106" s="47"/>
      <c r="E106" s="47"/>
      <c r="F106" s="90">
        <v>29250</v>
      </c>
      <c r="G106" s="47"/>
      <c r="H106" s="113"/>
      <c r="I106" s="114"/>
    </row>
    <row r="107" spans="1:9" x14ac:dyDescent="0.2">
      <c r="A107" s="47"/>
      <c r="B107" s="47" t="s">
        <v>210</v>
      </c>
      <c r="C107" s="47">
        <v>65</v>
      </c>
      <c r="D107" s="47"/>
      <c r="E107" s="47"/>
      <c r="F107" s="90">
        <v>63375</v>
      </c>
      <c r="G107" s="47"/>
      <c r="H107" s="113"/>
      <c r="I107" s="114"/>
    </row>
    <row r="108" spans="1:9" ht="15" x14ac:dyDescent="0.2">
      <c r="A108" s="29"/>
      <c r="B108" s="29"/>
      <c r="C108" s="29"/>
      <c r="D108" s="29"/>
      <c r="E108" s="29"/>
      <c r="F108" s="29"/>
      <c r="G108" s="29"/>
      <c r="H108" s="29"/>
      <c r="I108" s="29"/>
    </row>
    <row r="109" spans="1:9" x14ac:dyDescent="0.2">
      <c r="A109" s="47" t="s">
        <v>211</v>
      </c>
      <c r="B109" s="47" t="s">
        <v>206</v>
      </c>
      <c r="C109" s="47">
        <v>2.5</v>
      </c>
      <c r="D109" s="47"/>
      <c r="E109" s="47"/>
      <c r="F109" s="90">
        <v>2438</v>
      </c>
      <c r="G109" s="47"/>
      <c r="H109" s="113"/>
      <c r="I109" s="114"/>
    </row>
    <row r="110" spans="1:9" x14ac:dyDescent="0.2">
      <c r="A110" s="47"/>
      <c r="B110" s="47" t="s">
        <v>208</v>
      </c>
      <c r="C110" s="47">
        <v>22</v>
      </c>
      <c r="D110" s="47"/>
      <c r="E110" s="47"/>
      <c r="F110" s="90">
        <v>21450</v>
      </c>
      <c r="G110" s="47"/>
      <c r="H110" s="113"/>
      <c r="I110" s="114"/>
    </row>
    <row r="111" spans="1:9" x14ac:dyDescent="0.2">
      <c r="A111" s="47"/>
      <c r="B111" s="47" t="s">
        <v>209</v>
      </c>
      <c r="C111" s="47">
        <v>35</v>
      </c>
      <c r="D111" s="47"/>
      <c r="E111" s="47"/>
      <c r="F111" s="90">
        <v>34125</v>
      </c>
      <c r="G111" s="47"/>
      <c r="H111" s="113"/>
      <c r="I111" s="114"/>
    </row>
    <row r="112" spans="1:9" x14ac:dyDescent="0.2">
      <c r="A112" s="47"/>
      <c r="B112" s="47" t="s">
        <v>210</v>
      </c>
      <c r="C112" s="47">
        <v>70</v>
      </c>
      <c r="D112" s="47"/>
      <c r="E112" s="47"/>
      <c r="F112" s="90">
        <v>68250</v>
      </c>
      <c r="G112" s="47"/>
      <c r="H112" s="113"/>
      <c r="I112" s="114"/>
    </row>
    <row r="113" spans="1:9" ht="15" x14ac:dyDescent="0.2">
      <c r="A113" s="29"/>
      <c r="B113" s="29"/>
      <c r="C113" s="29"/>
      <c r="D113" s="29"/>
      <c r="E113" s="29"/>
      <c r="F113" s="29"/>
      <c r="G113" s="29"/>
      <c r="H113" s="29"/>
      <c r="I113" s="29"/>
    </row>
    <row r="114" spans="1:9" x14ac:dyDescent="0.2">
      <c r="A114" s="47" t="s">
        <v>212</v>
      </c>
      <c r="B114" s="47" t="s">
        <v>206</v>
      </c>
      <c r="C114" s="47">
        <v>2.5</v>
      </c>
      <c r="D114" s="47"/>
      <c r="E114" s="47"/>
      <c r="F114" s="90">
        <v>2438</v>
      </c>
      <c r="G114" s="47"/>
      <c r="H114" s="113"/>
      <c r="I114" s="114"/>
    </row>
    <row r="115" spans="1:9" x14ac:dyDescent="0.2">
      <c r="A115" s="47"/>
      <c r="B115" s="47" t="s">
        <v>208</v>
      </c>
      <c r="C115" s="47">
        <v>30</v>
      </c>
      <c r="D115" s="47"/>
      <c r="E115" s="47"/>
      <c r="F115" s="90">
        <v>29250</v>
      </c>
      <c r="G115" s="47"/>
      <c r="H115" s="113"/>
      <c r="I115" s="114"/>
    </row>
    <row r="116" spans="1:9" x14ac:dyDescent="0.2">
      <c r="A116" s="47"/>
      <c r="B116" s="47" t="s">
        <v>210</v>
      </c>
      <c r="C116" s="47">
        <v>85</v>
      </c>
      <c r="D116" s="47"/>
      <c r="E116" s="47"/>
      <c r="F116" s="90">
        <v>82875</v>
      </c>
      <c r="G116" s="47"/>
      <c r="H116" s="113"/>
      <c r="I116" s="114"/>
    </row>
    <row r="117" spans="1:9" ht="15" x14ac:dyDescent="0.2">
      <c r="A117" s="29"/>
      <c r="B117" s="29"/>
      <c r="C117" s="29"/>
      <c r="D117" s="29"/>
      <c r="E117" s="29"/>
      <c r="F117" s="29"/>
      <c r="G117" s="29"/>
      <c r="H117" s="29"/>
      <c r="I117" s="29"/>
    </row>
    <row r="118" spans="1:9" x14ac:dyDescent="0.2">
      <c r="A118" s="47" t="s">
        <v>213</v>
      </c>
      <c r="B118" s="47" t="s">
        <v>206</v>
      </c>
      <c r="C118" s="47">
        <v>4.5</v>
      </c>
      <c r="D118" s="47"/>
      <c r="E118" s="47"/>
      <c r="F118" s="90">
        <v>4388</v>
      </c>
      <c r="G118" s="47"/>
      <c r="H118" s="113"/>
      <c r="I118" s="114"/>
    </row>
    <row r="119" spans="1:9" x14ac:dyDescent="0.2">
      <c r="A119" s="47"/>
      <c r="B119" s="47" t="s">
        <v>208</v>
      </c>
      <c r="C119" s="47">
        <v>40</v>
      </c>
      <c r="D119" s="47"/>
      <c r="E119" s="47"/>
      <c r="F119" s="90">
        <v>39000</v>
      </c>
      <c r="G119" s="47"/>
      <c r="H119" s="113"/>
      <c r="I119" s="114"/>
    </row>
    <row r="120" spans="1:9" x14ac:dyDescent="0.2">
      <c r="A120" s="47"/>
      <c r="B120" s="47" t="s">
        <v>209</v>
      </c>
      <c r="C120" s="47">
        <v>80</v>
      </c>
      <c r="D120" s="47"/>
      <c r="E120" s="47"/>
      <c r="F120" s="90">
        <v>78000</v>
      </c>
      <c r="G120" s="47"/>
      <c r="H120" s="113"/>
      <c r="I120" s="114"/>
    </row>
    <row r="121" spans="1:9" x14ac:dyDescent="0.2">
      <c r="A121" s="47"/>
      <c r="B121" s="47" t="s">
        <v>210</v>
      </c>
      <c r="C121" s="47">
        <v>120</v>
      </c>
      <c r="D121" s="47"/>
      <c r="E121" s="47"/>
      <c r="F121" s="90">
        <v>117000</v>
      </c>
      <c r="G121" s="47"/>
      <c r="H121" s="113"/>
      <c r="I121" s="114"/>
    </row>
    <row r="122" spans="1:9" ht="15" x14ac:dyDescent="0.2">
      <c r="A122" s="29"/>
      <c r="B122" s="29"/>
      <c r="C122" s="29"/>
      <c r="D122" s="29"/>
      <c r="E122" s="29"/>
      <c r="F122" s="29"/>
      <c r="G122" s="29"/>
      <c r="H122" s="29"/>
      <c r="I122" s="29"/>
    </row>
    <row r="123" spans="1:9" x14ac:dyDescent="0.2">
      <c r="A123" s="47" t="s">
        <v>214</v>
      </c>
      <c r="B123" s="47" t="s">
        <v>206</v>
      </c>
      <c r="C123" s="47">
        <v>5.5</v>
      </c>
      <c r="D123" s="47"/>
      <c r="E123" s="47"/>
      <c r="F123" s="90">
        <v>5363</v>
      </c>
      <c r="G123" s="47"/>
      <c r="H123" s="113"/>
      <c r="I123" s="114"/>
    </row>
    <row r="124" spans="1:9" x14ac:dyDescent="0.2">
      <c r="A124" s="47"/>
      <c r="B124" s="47" t="s">
        <v>208</v>
      </c>
      <c r="C124" s="47">
        <v>50</v>
      </c>
      <c r="D124" s="47"/>
      <c r="E124" s="47"/>
      <c r="F124" s="90">
        <v>48750</v>
      </c>
      <c r="G124" s="47"/>
      <c r="H124" s="113"/>
      <c r="I124" s="114"/>
    </row>
    <row r="125" spans="1:9" x14ac:dyDescent="0.2">
      <c r="A125" s="47"/>
      <c r="B125" s="47" t="s">
        <v>209</v>
      </c>
      <c r="C125" s="47">
        <v>100</v>
      </c>
      <c r="D125" s="47"/>
      <c r="E125" s="47"/>
      <c r="F125" s="90">
        <v>97500</v>
      </c>
      <c r="G125" s="47"/>
      <c r="H125" s="113"/>
      <c r="I125" s="114"/>
    </row>
    <row r="126" spans="1:9" x14ac:dyDescent="0.2">
      <c r="A126" s="47"/>
      <c r="B126" s="47" t="s">
        <v>210</v>
      </c>
      <c r="C126" s="47">
        <v>140</v>
      </c>
      <c r="D126" s="47"/>
      <c r="E126" s="47"/>
      <c r="F126" s="90">
        <v>136500</v>
      </c>
      <c r="G126" s="47"/>
      <c r="H126" s="113"/>
      <c r="I126" s="114"/>
    </row>
    <row r="127" spans="1:9" ht="15" x14ac:dyDescent="0.2">
      <c r="A127" s="29"/>
      <c r="B127" s="29"/>
      <c r="C127" s="29"/>
      <c r="D127" s="29"/>
      <c r="E127" s="29"/>
      <c r="F127" s="29"/>
      <c r="G127" s="29"/>
      <c r="H127" s="29"/>
      <c r="I127" s="29"/>
    </row>
    <row r="128" spans="1:9" x14ac:dyDescent="0.2">
      <c r="A128" s="47" t="s">
        <v>215</v>
      </c>
      <c r="B128" s="47" t="s">
        <v>206</v>
      </c>
      <c r="C128" s="47">
        <v>5</v>
      </c>
      <c r="D128" s="47"/>
      <c r="E128" s="47"/>
      <c r="F128" s="90">
        <v>4875</v>
      </c>
      <c r="G128" s="47"/>
      <c r="H128" s="113"/>
      <c r="I128" s="114"/>
    </row>
    <row r="129" spans="1:9" x14ac:dyDescent="0.2">
      <c r="A129" s="47"/>
      <c r="B129" s="47" t="s">
        <v>208</v>
      </c>
      <c r="C129" s="47">
        <v>25</v>
      </c>
      <c r="D129" s="47"/>
      <c r="E129" s="47"/>
      <c r="F129" s="90">
        <v>24375</v>
      </c>
      <c r="G129" s="47"/>
      <c r="H129" s="113"/>
      <c r="I129" s="114"/>
    </row>
    <row r="130" spans="1:9" x14ac:dyDescent="0.2">
      <c r="A130" s="47"/>
      <c r="B130" s="47" t="s">
        <v>209</v>
      </c>
      <c r="C130" s="47">
        <v>50</v>
      </c>
      <c r="D130" s="47"/>
      <c r="E130" s="47"/>
      <c r="F130" s="90">
        <v>48750</v>
      </c>
      <c r="G130" s="47"/>
      <c r="H130" s="113"/>
      <c r="I130" s="114"/>
    </row>
    <row r="131" spans="1:9" x14ac:dyDescent="0.2">
      <c r="A131" s="47"/>
      <c r="B131" s="47" t="s">
        <v>210</v>
      </c>
      <c r="C131" s="47">
        <v>110</v>
      </c>
      <c r="D131" s="47"/>
      <c r="E131" s="47"/>
      <c r="F131" s="90">
        <v>107250</v>
      </c>
      <c r="G131" s="47"/>
      <c r="H131" s="113"/>
      <c r="I131" s="114"/>
    </row>
    <row r="132" spans="1:9" ht="15" x14ac:dyDescent="0.2">
      <c r="A132" s="29"/>
      <c r="B132" s="29"/>
      <c r="C132" s="29"/>
      <c r="D132" s="29"/>
      <c r="E132" s="29"/>
      <c r="F132" s="29"/>
      <c r="G132" s="29"/>
      <c r="H132" s="29"/>
      <c r="I132" s="29"/>
    </row>
    <row r="133" spans="1:9" x14ac:dyDescent="0.2">
      <c r="A133" s="47" t="s">
        <v>216</v>
      </c>
      <c r="B133" s="47" t="s">
        <v>206</v>
      </c>
      <c r="C133" s="47">
        <v>5.5</v>
      </c>
      <c r="D133" s="47"/>
      <c r="E133" s="47"/>
      <c r="F133" s="90">
        <v>5363</v>
      </c>
      <c r="G133" s="47"/>
      <c r="H133" s="113"/>
      <c r="I133" s="114"/>
    </row>
    <row r="134" spans="1:9" x14ac:dyDescent="0.2">
      <c r="A134" s="47"/>
      <c r="B134" s="47" t="s">
        <v>208</v>
      </c>
      <c r="C134" s="47">
        <v>50</v>
      </c>
      <c r="D134" s="47"/>
      <c r="E134" s="47"/>
      <c r="F134" s="90">
        <v>48750</v>
      </c>
      <c r="G134" s="47"/>
      <c r="H134" s="113"/>
      <c r="I134" s="114"/>
    </row>
    <row r="135" spans="1:9" x14ac:dyDescent="0.2">
      <c r="A135" s="47"/>
      <c r="B135" s="47" t="s">
        <v>209</v>
      </c>
      <c r="C135" s="47">
        <v>100</v>
      </c>
      <c r="D135" s="47"/>
      <c r="E135" s="47"/>
      <c r="F135" s="90">
        <v>97500</v>
      </c>
      <c r="G135" s="47"/>
      <c r="H135" s="113"/>
      <c r="I135" s="114"/>
    </row>
    <row r="136" spans="1:9" x14ac:dyDescent="0.2">
      <c r="A136" s="47"/>
      <c r="B136" s="47" t="s">
        <v>210</v>
      </c>
      <c r="C136" s="47">
        <v>140</v>
      </c>
      <c r="D136" s="47"/>
      <c r="E136" s="47"/>
      <c r="F136" s="90">
        <v>136500</v>
      </c>
      <c r="G136" s="47"/>
      <c r="H136" s="113"/>
      <c r="I136" s="114"/>
    </row>
    <row r="137" spans="1:9" ht="15" x14ac:dyDescent="0.2">
      <c r="A137" s="29"/>
      <c r="B137" s="29"/>
      <c r="C137" s="29"/>
      <c r="D137" s="29"/>
      <c r="E137" s="29"/>
      <c r="F137" s="29"/>
      <c r="G137" s="29"/>
      <c r="H137" s="29"/>
      <c r="I137" s="29"/>
    </row>
    <row r="138" spans="1:9" x14ac:dyDescent="0.2">
      <c r="A138" s="47" t="s">
        <v>217</v>
      </c>
      <c r="B138" s="47" t="s">
        <v>218</v>
      </c>
      <c r="C138" s="47">
        <v>6</v>
      </c>
      <c r="D138" s="47"/>
      <c r="E138" s="47"/>
      <c r="F138" s="90">
        <v>5850</v>
      </c>
      <c r="G138" s="47"/>
      <c r="H138" s="113"/>
      <c r="I138" s="114"/>
    </row>
    <row r="139" spans="1:9" x14ac:dyDescent="0.2">
      <c r="A139" s="47"/>
      <c r="B139" s="47" t="s">
        <v>208</v>
      </c>
      <c r="C139" s="47">
        <v>16</v>
      </c>
      <c r="D139" s="47"/>
      <c r="E139" s="47"/>
      <c r="F139" s="90">
        <v>15600</v>
      </c>
      <c r="G139" s="47"/>
      <c r="H139" s="113"/>
      <c r="I139" s="114"/>
    </row>
    <row r="140" spans="1:9" x14ac:dyDescent="0.2">
      <c r="A140" s="47"/>
      <c r="B140" s="47" t="s">
        <v>209</v>
      </c>
      <c r="C140" s="47">
        <v>32</v>
      </c>
      <c r="D140" s="47"/>
      <c r="E140" s="47"/>
      <c r="F140" s="90">
        <v>31200</v>
      </c>
      <c r="G140" s="47"/>
      <c r="H140" s="113"/>
      <c r="I140" s="114"/>
    </row>
    <row r="141" spans="1:9" x14ac:dyDescent="0.2">
      <c r="A141" s="47"/>
      <c r="B141" s="47" t="s">
        <v>210</v>
      </c>
      <c r="C141" s="47">
        <v>80</v>
      </c>
      <c r="D141" s="47"/>
      <c r="E141" s="47"/>
      <c r="F141" s="90">
        <v>78000</v>
      </c>
      <c r="G141" s="47"/>
      <c r="H141" s="113"/>
      <c r="I141" s="114"/>
    </row>
    <row r="142" spans="1:9" ht="15" x14ac:dyDescent="0.2">
      <c r="A142" s="29"/>
      <c r="B142" s="29"/>
      <c r="C142" s="29"/>
      <c r="D142" s="29"/>
      <c r="E142" s="29"/>
      <c r="F142" s="29"/>
      <c r="G142" s="29"/>
      <c r="H142" s="29"/>
      <c r="I142" s="29"/>
    </row>
  </sheetData>
  <mergeCells count="33">
    <mergeCell ref="H102:I102"/>
    <mergeCell ref="H103:I103"/>
    <mergeCell ref="H104:I104"/>
    <mergeCell ref="H105:I105"/>
    <mergeCell ref="H106:I106"/>
    <mergeCell ref="H107:I107"/>
    <mergeCell ref="H109:I109"/>
    <mergeCell ref="H110:I110"/>
    <mergeCell ref="H111:I111"/>
    <mergeCell ref="H112:I112"/>
    <mergeCell ref="H114:I114"/>
    <mergeCell ref="H115:I115"/>
    <mergeCell ref="H116:I116"/>
    <mergeCell ref="H118:I118"/>
    <mergeCell ref="H119:I119"/>
    <mergeCell ref="H120:I120"/>
    <mergeCell ref="H121:I121"/>
    <mergeCell ref="H123:I123"/>
    <mergeCell ref="H124:I124"/>
    <mergeCell ref="H125:I125"/>
    <mergeCell ref="H126:I126"/>
    <mergeCell ref="H128:I128"/>
    <mergeCell ref="H129:I129"/>
    <mergeCell ref="H130:I130"/>
    <mergeCell ref="H138:I138"/>
    <mergeCell ref="H139:I139"/>
    <mergeCell ref="H140:I140"/>
    <mergeCell ref="H141:I141"/>
    <mergeCell ref="H131:I131"/>
    <mergeCell ref="H133:I133"/>
    <mergeCell ref="H134:I134"/>
    <mergeCell ref="H135:I135"/>
    <mergeCell ref="H136:I1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02d426-1438-4dc1-8b7c-7b20f9445e41" xsi:nil="true"/>
    <lcf76f155ced4ddcb4097134ff3c332f xmlns="48c765cd-2e81-4334-967e-7eb2996ef46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1588964B42D243A184984E1872BC1E" ma:contentTypeVersion="13" ma:contentTypeDescription="Skapa ett nytt dokument." ma:contentTypeScope="" ma:versionID="0e8678cde6be23d7395db891b31c0037">
  <xsd:schema xmlns:xsd="http://www.w3.org/2001/XMLSchema" xmlns:xs="http://www.w3.org/2001/XMLSchema" xmlns:p="http://schemas.microsoft.com/office/2006/metadata/properties" xmlns:ns2="48c765cd-2e81-4334-967e-7eb2996ef46d" xmlns:ns3="0e02d426-1438-4dc1-8b7c-7b20f9445e41" targetNamespace="http://schemas.microsoft.com/office/2006/metadata/properties" ma:root="true" ma:fieldsID="6e128e0249f1b0c7ba9dbdacf9e21b0a" ns2:_="" ns3:_="">
    <xsd:import namespace="48c765cd-2e81-4334-967e-7eb2996ef46d"/>
    <xsd:import namespace="0e02d426-1438-4dc1-8b7c-7b20f9445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765cd-2e81-4334-967e-7eb2996ef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eringar" ma:readOnly="false" ma:fieldId="{5cf76f15-5ced-4ddc-b409-7134ff3c332f}" ma:taxonomyMulti="true" ma:sspId="9686455a-6162-4122-9bbf-cbc1428ed4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2d426-1438-4dc1-8b7c-7b20f9445e4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048688b-facd-4889-afe3-6c68b6c7268d}" ma:internalName="TaxCatchAll" ma:showField="CatchAllData" ma:web="0e02d426-1438-4dc1-8b7c-7b20f9445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301EE5-9FDC-4A93-A92F-A30359A187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A66D56-25DF-4091-A66B-A26B465DCD30}">
  <ds:schemaRefs>
    <ds:schemaRef ds:uri="http://schemas.microsoft.com/office/2006/metadata/properties"/>
    <ds:schemaRef ds:uri="http://schemas.microsoft.com/office/infopath/2007/PartnerControls"/>
    <ds:schemaRef ds:uri="0e02d426-1438-4dc1-8b7c-7b20f9445e41"/>
    <ds:schemaRef ds:uri="48c765cd-2e81-4334-967e-7eb2996ef46d"/>
  </ds:schemaRefs>
</ds:datastoreItem>
</file>

<file path=customXml/itemProps3.xml><?xml version="1.0" encoding="utf-8"?>
<ds:datastoreItem xmlns:ds="http://schemas.openxmlformats.org/officeDocument/2006/customXml" ds:itemID="{495FC43F-8694-49AD-8D13-07A64D6E0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c765cd-2e81-4334-967e-7eb2996ef46d"/>
    <ds:schemaRef ds:uri="0e02d426-1438-4dc1-8b7c-7b20f9445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orginal lista</vt:lpstr>
      <vt:lpstr>Lista med 12%</vt:lpstr>
      <vt:lpstr>Lista med 25%</vt:lpstr>
    </vt:vector>
  </TitlesOfParts>
  <Manager/>
  <Company>Knorr Bremse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Joergen Sundsten</dc:creator>
  <cp:keywords/>
  <dc:description/>
  <cp:lastModifiedBy>Sebastian Lloyd</cp:lastModifiedBy>
  <cp:revision/>
  <cp:lastPrinted>2025-01-29T10:32:38Z</cp:lastPrinted>
  <dcterms:created xsi:type="dcterms:W3CDTF">2016-03-11T13:08:29Z</dcterms:created>
  <dcterms:modified xsi:type="dcterms:W3CDTF">2025-07-31T13:05:06Z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0x010100431588964B42D243A184984E1872BC1E</vt:lpwstr>
  </property>
  <property fmtid="{D5CDD505-2E9C-101B-9397-08002B2CF9AE}" pid="3" name="MediaServiceImageTags">
    <vt:lpwstr/>
  </property>
</Properties>
</file>